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bektase\Desktop\"/>
    </mc:Choice>
  </mc:AlternateContent>
  <xr:revisionPtr revIDLastSave="0" documentId="13_ncr:1_{1E71DBD6-F3CF-49EE-A8EE-163664927F90}" xr6:coauthVersionLast="47" xr6:coauthVersionMax="47" xr10:uidLastSave="{00000000-0000-0000-0000-000000000000}"/>
  <bookViews>
    <workbookView xWindow="28680" yWindow="-120" windowWidth="29040" windowHeight="15720" tabRatio="756" xr2:uid="{00000000-000D-0000-FFFF-FFFF00000000}"/>
  </bookViews>
  <sheets>
    <sheet name="Faktoren ProdReorganisation" sheetId="7" r:id="rId1"/>
    <sheet name="Checkliste_Prozesskosten" sheetId="5" r:id="rId2"/>
    <sheet name="NVH_Prozessdaten" sheetId="1" r:id="rId3"/>
    <sheet name="01_Analyse_Tiefzieh" sheetId="3" r:id="rId4"/>
    <sheet name="01_Kosten_Tiefzieh" sheetId="2" r:id="rId5"/>
    <sheet name="01_Vorher_Nachher" sheetId="4" r:id="rId6"/>
    <sheet name="Kostenfaktoren" sheetId="6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7" l="1"/>
  <c r="H115" i="7"/>
  <c r="H116" i="7"/>
  <c r="H117" i="7"/>
  <c r="H118" i="7"/>
  <c r="H119" i="7"/>
  <c r="H120" i="7"/>
  <c r="H121" i="7"/>
  <c r="H122" i="7"/>
  <c r="H123" i="7"/>
  <c r="H124" i="7"/>
  <c r="H125" i="7"/>
  <c r="G115" i="7"/>
  <c r="G116" i="7"/>
  <c r="G117" i="7"/>
  <c r="G118" i="7"/>
  <c r="G119" i="7"/>
  <c r="G120" i="7"/>
  <c r="G121" i="7"/>
  <c r="G122" i="7"/>
  <c r="G123" i="7"/>
  <c r="G124" i="7"/>
  <c r="G125" i="7"/>
  <c r="E115" i="7"/>
  <c r="E116" i="7"/>
  <c r="E117" i="7"/>
  <c r="E118" i="7"/>
  <c r="E119" i="7"/>
  <c r="E120" i="7"/>
  <c r="E121" i="7"/>
  <c r="E122" i="7"/>
  <c r="E123" i="7"/>
  <c r="E124" i="7"/>
  <c r="E125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68" i="7"/>
  <c r="F68" i="7"/>
  <c r="I68" i="7"/>
  <c r="J68" i="7"/>
  <c r="F69" i="7"/>
  <c r="I69" i="7"/>
  <c r="J69" i="7"/>
  <c r="F70" i="7"/>
  <c r="I70" i="7"/>
  <c r="J70" i="7"/>
  <c r="F71" i="7"/>
  <c r="I71" i="7"/>
  <c r="J71" i="7"/>
  <c r="F72" i="7"/>
  <c r="I72" i="7"/>
  <c r="J72" i="7"/>
  <c r="F73" i="7"/>
  <c r="I73" i="7"/>
  <c r="J73" i="7"/>
  <c r="F74" i="7"/>
  <c r="I74" i="7"/>
  <c r="J74" i="7"/>
  <c r="F75" i="7"/>
  <c r="I75" i="7"/>
  <c r="J75" i="7"/>
  <c r="F76" i="7"/>
  <c r="I76" i="7"/>
  <c r="J76" i="7"/>
  <c r="F77" i="7"/>
  <c r="I77" i="7"/>
  <c r="J77" i="7"/>
  <c r="F78" i="7"/>
  <c r="I78" i="7"/>
  <c r="J78" i="7"/>
  <c r="F79" i="7"/>
  <c r="I79" i="7"/>
  <c r="J79" i="7"/>
  <c r="F80" i="7"/>
  <c r="I80" i="7"/>
  <c r="J80" i="7"/>
  <c r="F81" i="7"/>
  <c r="I81" i="7"/>
  <c r="J81" i="7"/>
  <c r="F82" i="7"/>
  <c r="I82" i="7"/>
  <c r="J82" i="7"/>
  <c r="F83" i="7"/>
  <c r="I83" i="7"/>
  <c r="J83" i="7"/>
  <c r="F84" i="7"/>
  <c r="I84" i="7"/>
  <c r="J84" i="7"/>
  <c r="F85" i="7"/>
  <c r="I85" i="7"/>
  <c r="J85" i="7"/>
  <c r="F86" i="7"/>
  <c r="I86" i="7"/>
  <c r="J86" i="7"/>
  <c r="F87" i="7"/>
  <c r="I87" i="7"/>
  <c r="J87" i="7"/>
  <c r="F88" i="7"/>
  <c r="I88" i="7"/>
  <c r="J88" i="7"/>
  <c r="F89" i="7"/>
  <c r="I89" i="7"/>
  <c r="J89" i="7"/>
  <c r="F90" i="7"/>
  <c r="I90" i="7"/>
  <c r="J90" i="7"/>
  <c r="F91" i="7"/>
  <c r="I91" i="7"/>
  <c r="J91" i="7"/>
  <c r="F92" i="7"/>
  <c r="I92" i="7"/>
  <c r="J92" i="7"/>
  <c r="F93" i="7"/>
  <c r="I93" i="7"/>
  <c r="J93" i="7"/>
  <c r="F94" i="7"/>
  <c r="I94" i="7"/>
  <c r="J94" i="7"/>
  <c r="F95" i="7"/>
  <c r="I95" i="7"/>
  <c r="J95" i="7"/>
  <c r="F96" i="7"/>
  <c r="I96" i="7"/>
  <c r="J96" i="7"/>
  <c r="F97" i="7"/>
  <c r="I97" i="7"/>
  <c r="J97" i="7"/>
  <c r="F98" i="7"/>
  <c r="I98" i="7"/>
  <c r="J98" i="7"/>
  <c r="F99" i="7"/>
  <c r="I99" i="7"/>
  <c r="J99" i="7"/>
  <c r="F100" i="7"/>
  <c r="I100" i="7"/>
  <c r="J100" i="7"/>
  <c r="F101" i="7"/>
  <c r="I101" i="7"/>
  <c r="J101" i="7"/>
  <c r="F102" i="7"/>
  <c r="I102" i="7"/>
  <c r="J102" i="7"/>
  <c r="F103" i="7"/>
  <c r="I103" i="7"/>
  <c r="J103" i="7"/>
  <c r="F104" i="7"/>
  <c r="I104" i="7"/>
  <c r="J104" i="7"/>
  <c r="F105" i="7"/>
  <c r="I105" i="7"/>
  <c r="J105" i="7"/>
  <c r="F106" i="7"/>
  <c r="I106" i="7"/>
  <c r="J106" i="7"/>
  <c r="F107" i="7"/>
  <c r="I107" i="7"/>
  <c r="J107" i="7"/>
  <c r="F108" i="7"/>
  <c r="I108" i="7"/>
  <c r="J108" i="7"/>
  <c r="F109" i="7"/>
  <c r="I109" i="7"/>
  <c r="J109" i="7"/>
  <c r="F110" i="7"/>
  <c r="I110" i="7"/>
  <c r="J110" i="7"/>
  <c r="F111" i="7"/>
  <c r="I111" i="7"/>
  <c r="J111" i="7"/>
  <c r="F112" i="7"/>
  <c r="I112" i="7"/>
  <c r="J112" i="7"/>
  <c r="F113" i="7"/>
  <c r="I113" i="7"/>
  <c r="J113" i="7"/>
  <c r="F114" i="7"/>
  <c r="I114" i="7"/>
  <c r="J114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68" i="7"/>
  <c r="F66" i="7" l="1"/>
  <c r="E66" i="7"/>
  <c r="G66" i="7"/>
  <c r="H66" i="7"/>
  <c r="B6" i="2"/>
  <c r="B7" i="2"/>
  <c r="B8" i="2"/>
  <c r="B5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Damir Bektasevic</author>
  </authors>
  <commentList>
    <comment ref="D16" authorId="0" shapeId="0" xr:uid="{DA970134-8773-461C-B2EE-27A4833ABADC}">
      <text>
        <r>
          <rPr>
            <b/>
            <sz val="9"/>
            <color indexed="81"/>
            <rFont val="Segoe UI"/>
            <family val="2"/>
          </rPr>
          <t>Damir Bektasevic:</t>
        </r>
        <r>
          <rPr>
            <sz val="9"/>
            <color indexed="81"/>
            <rFont val="Segoe UI"/>
            <family val="2"/>
          </rPr>
          <t xml:space="preserve">
Gesamtmaterialfluss</t>
        </r>
      </text>
    </comment>
    <comment ref="D18" authorId="0" shapeId="0" xr:uid="{D2A20230-6462-496F-B8C3-8ED07A739CB8}">
      <text>
        <r>
          <rPr>
            <b/>
            <sz val="9"/>
            <color indexed="81"/>
            <rFont val="Segoe UI"/>
            <family val="2"/>
          </rPr>
          <t>Damir Bektasevic:</t>
        </r>
        <r>
          <rPr>
            <sz val="9"/>
            <color indexed="81"/>
            <rFont val="Segoe UI"/>
            <family val="2"/>
          </rPr>
          <t xml:space="preserve">
Materialien</t>
        </r>
      </text>
    </comment>
    <comment ref="D20" authorId="0" shapeId="0" xr:uid="{82EC43A9-2C80-4E14-BA46-395A6C52D0E9}">
      <text>
        <r>
          <rPr>
            <b/>
            <sz val="9"/>
            <color indexed="81"/>
            <rFont val="Segoe UI"/>
            <family val="2"/>
          </rPr>
          <t>Damir Bektasevic:</t>
        </r>
        <r>
          <rPr>
            <sz val="9"/>
            <color indexed="81"/>
            <rFont val="Segoe UI"/>
            <family val="2"/>
          </rPr>
          <t xml:space="preserve">
Fertigteile</t>
        </r>
      </text>
    </comment>
  </commentList>
</comments>
</file>

<file path=xl/sharedStrings.xml><?xml version="1.0" encoding="utf-8"?>
<sst xmlns="http://schemas.openxmlformats.org/spreadsheetml/2006/main" count="265" uniqueCount="178">
  <si>
    <t>Prozessschritt</t>
  </si>
  <si>
    <t>Beschreibung</t>
  </si>
  <si>
    <t>Wertschöpfend (Ja/Nein)</t>
  </si>
  <si>
    <t>Bearbeitungszeit (s)</t>
  </si>
  <si>
    <t>Rüstzeit (min)</t>
  </si>
  <si>
    <t>Transportzeit (s)</t>
  </si>
  <si>
    <t>Wartezeit (s)</t>
  </si>
  <si>
    <t>Stillstandszeit (min)</t>
  </si>
  <si>
    <t>Menge/Stückzahl</t>
  </si>
  <si>
    <t>Personalkosten €/h</t>
  </si>
  <si>
    <t>Maschinenstundensatz €</t>
  </si>
  <si>
    <t>Materialkosten €/Stk</t>
  </si>
  <si>
    <t>Qualitätskosten €/Stk</t>
  </si>
  <si>
    <t>Logistikkosten €/Stk</t>
  </si>
  <si>
    <t>Gemeinkosten €</t>
  </si>
  <si>
    <t>Kosten gesamt €/Stk</t>
  </si>
  <si>
    <t>Hauptkostentreiber</t>
  </si>
  <si>
    <t>Optimierungspotenzial (%)</t>
  </si>
  <si>
    <t>Auslastungen</t>
  </si>
  <si>
    <t>Prozesse</t>
  </si>
  <si>
    <t>NVH</t>
  </si>
  <si>
    <t>Prozessschritte</t>
  </si>
  <si>
    <t>Prozessdaten</t>
  </si>
  <si>
    <t>Prozessbereich</t>
  </si>
  <si>
    <t>Kosten_Vorher</t>
  </si>
  <si>
    <t>Kosten_Nachher</t>
  </si>
  <si>
    <t>Bearbeitung</t>
  </si>
  <si>
    <t>Rüsten</t>
  </si>
  <si>
    <t>Transport</t>
  </si>
  <si>
    <t>Qualität</t>
  </si>
  <si>
    <t>Nacharbeit</t>
  </si>
  <si>
    <t>Instandhaltung</t>
  </si>
  <si>
    <t>Gemeinkosten</t>
  </si>
  <si>
    <t>Volumen / Kapazität</t>
  </si>
  <si>
    <t>ProzessAnalyse</t>
  </si>
  <si>
    <t>Kategorie</t>
  </si>
  <si>
    <t>Checkpunkt</t>
  </si>
  <si>
    <t>Status (Offen / In Arbeit / Fertig)</t>
  </si>
  <si>
    <t>Bemerkungen</t>
  </si>
  <si>
    <t>Prozessaufnahme</t>
  </si>
  <si>
    <t>Prozessschritte vollständig dokumentiert</t>
  </si>
  <si>
    <t>Zeitdaten vollständig (Bearb./Rüst/Stör/Warte)</t>
  </si>
  <si>
    <t>Materialflüsse erfasst (Layout, Wege, Handling)</t>
  </si>
  <si>
    <t>Kostenanalyse</t>
  </si>
  <si>
    <t>Personalkosten geprüft</t>
  </si>
  <si>
    <t>Maschinenstundensätze hinterlegt</t>
  </si>
  <si>
    <t>Gemeinkostenverteilung abgestimmt</t>
  </si>
  <si>
    <t>Datenqualität</t>
  </si>
  <si>
    <t>Zeitangaben plausibel</t>
  </si>
  <si>
    <t>Kostenangaben konsistent</t>
  </si>
  <si>
    <t>Optimierungspotenziale</t>
  </si>
  <si>
    <t>Hauptkostentreiber identifiziert</t>
  </si>
  <si>
    <t>Vorher-Nachher-Effekt berechnet</t>
  </si>
  <si>
    <t>Risiken</t>
  </si>
  <si>
    <t>Projektrisiken bewertet</t>
  </si>
  <si>
    <t>Bottlenecks berücksichtigt</t>
  </si>
  <si>
    <t>Reporting</t>
  </si>
  <si>
    <t>Diagramme erstellt</t>
  </si>
  <si>
    <t>Management-Zusammenfassung enthalten</t>
  </si>
  <si>
    <t>Tiefziehproduktion 01</t>
  </si>
  <si>
    <t>Schäumen 02</t>
  </si>
  <si>
    <t>Kostenkategorie</t>
  </si>
  <si>
    <t>Status</t>
  </si>
  <si>
    <t>Personalkosten</t>
  </si>
  <si>
    <t>Personalkapazitäten analysiert</t>
  </si>
  <si>
    <t>Qualifizierungsbedarf bewertet</t>
  </si>
  <si>
    <t>Kosten für Schichtmodelle geprüft</t>
  </si>
  <si>
    <t>Materialkosten</t>
  </si>
  <si>
    <t>Materialverfügbarkeit geprüft</t>
  </si>
  <si>
    <t>Ausschuss- &amp; Nacharbeitskosten bewertet</t>
  </si>
  <si>
    <t>Maschinen/Anlagen</t>
  </si>
  <si>
    <t>Instandhaltungsstrategie bewertet</t>
  </si>
  <si>
    <t>Energieverbrauch analysiert</t>
  </si>
  <si>
    <t>Layout &amp; Logistik</t>
  </si>
  <si>
    <t>Transportwege bewertet</t>
  </si>
  <si>
    <t>Flächenbedarf geprüft</t>
  </si>
  <si>
    <t>Materialfluss optimiert</t>
  </si>
  <si>
    <t>IT &amp; Digitalisierung</t>
  </si>
  <si>
    <t>Digitalisierungsgrad bewertet</t>
  </si>
  <si>
    <t>IT-Schnittstellenbedarf geklärt</t>
  </si>
  <si>
    <t>Prüfaufwand analysiert</t>
  </si>
  <si>
    <t>Fehlerkosten bewertet</t>
  </si>
  <si>
    <t>Projektkosten</t>
  </si>
  <si>
    <t>Projektteamkosten erfasst</t>
  </si>
  <si>
    <t>Investitionskosten bewertet</t>
  </si>
  <si>
    <t>Lieferkette</t>
  </si>
  <si>
    <t>Lieferantenrisiken bewertet</t>
  </si>
  <si>
    <t>Transportkosten berechnet</t>
  </si>
  <si>
    <t>Nachhaltigkeit</t>
  </si>
  <si>
    <t>Energieeffizienzmaßnahmen bewertet</t>
  </si>
  <si>
    <t>CO2-Kosten berücksichtigt</t>
  </si>
  <si>
    <t>Finanzen</t>
  </si>
  <si>
    <t>ROI &amp; Payback berechnet</t>
  </si>
  <si>
    <t>Fördermöglichkeiten geprüft</t>
  </si>
  <si>
    <t>Kostenfaktoren zur Prozesskostenoptimierung bei Produktions‑Umstrukturierungen</t>
  </si>
  <si>
    <t>1. Personalkosten</t>
  </si>
  <si>
    <t>1.1 Direkte Personalkosten</t>
  </si>
  <si>
    <t>Löhne und Gehälter</t>
  </si>
  <si>
    <t>Zuschläge (Schicht, Überstunden, Erschwerniszulagen)</t>
  </si>
  <si>
    <t>1.2 Indirekte Personalkosten</t>
  </si>
  <si>
    <t>Kosten für Schulungen und Qualifizierungen (z. B. neue Anlagen)</t>
  </si>
  <si>
    <t>Kosten durch temporäre Produktivitätsverluste während der Lernkurve</t>
  </si>
  <si>
    <t>Kosten durch Versetzungen oder Umplatzierungen</t>
  </si>
  <si>
    <t>Kosten für Personalabbau (Abfindungen, Sozialpläne)</t>
  </si>
  <si>
    <t>2. Material- und Beschaffungskosten</t>
  </si>
  <si>
    <t>Eine Umstrukturierung hat häufig direkten Einfluss auf Materialflüsse und Beschaffung.</t>
  </si>
  <si>
    <t>Auswirkungen eigener Prozessänderungen auf Materialverbrauch</t>
  </si>
  <si>
    <t>Kosten der Materialbereitstellung (Intralogistik, Kitting)</t>
  </si>
  <si>
    <t>Bestandskosten (Lagerung, Umlaufbestände, Sicherheitsbestände)</t>
  </si>
  <si>
    <t>Transportkosten intern &amp; extern</t>
  </si>
  <si>
    <t>Ausschuss- und Nacharbeitskosten</t>
  </si>
  <si>
    <t>3. Maschinen- und Anlagenkosten</t>
  </si>
  <si>
    <t>3.1 Investitionskosten</t>
  </si>
  <si>
    <t>Kauf neuer Maschinen oder Anlagen</t>
  </si>
  <si>
    <t>Umbaukosten bestehender Anlagen</t>
  </si>
  <si>
    <t>Layoutänderungen und Verlagerungskosten</t>
  </si>
  <si>
    <t>3.2 Betriebskosten</t>
  </si>
  <si>
    <t>Wartung &amp; Instandhaltung</t>
  </si>
  <si>
    <t>Energieverbrauch</t>
  </si>
  <si>
    <t>Abschreibungen</t>
  </si>
  <si>
    <t>Werkzeug- und Vorrichtungskosten</t>
  </si>
  <si>
    <t>4. Produktionslayout &amp; Logistikkosten</t>
  </si>
  <si>
    <t>Der Materialfluss ist ein wesentlicher Treiber für Prozesskosten.</t>
  </si>
  <si>
    <t>Anpassung der Produktionsflächen</t>
  </si>
  <si>
    <t>Kosten für Neuplanung &amp; -installation von Materialfluss-Systemen</t>
  </si>
  <si>
    <t>Kosten für automatische Transportsysteme (z. B. FTF/AGV)</t>
  </si>
  <si>
    <t>Wegstreckenoptimierung (Arbeitszeit, Bewegung, Transportmittel)</t>
  </si>
  <si>
    <t>Verpackungs- und Handlingkosten</t>
  </si>
  <si>
    <t>Anpassungen im MES, ERP, APS-System</t>
  </si>
  <si>
    <t>Neue Sensorik zur Prozessdatenerfassung</t>
  </si>
  <si>
    <t>Kosten für Automatisierungssoftware</t>
  </si>
  <si>
    <t>IT‑Schnittstellen, Lizenzen, Support</t>
  </si>
  <si>
    <t>Cybersecurity Maßnahmen</t>
  </si>
  <si>
    <t>Veränderte Prozesse haben direkten Einfluss auf die Qualitätskosten.</t>
  </si>
  <si>
    <t>Prozess-FMEA, Risikoanalysen</t>
  </si>
  <si>
    <t>Schulungen Qualitätsmethoden</t>
  </si>
  <si>
    <t>Prüfplananpassungen</t>
  </si>
  <si>
    <t>Ausschuss</t>
  </si>
  <si>
    <t>Feldreklamationen / Gewährleistung</t>
  </si>
  <si>
    <t>Qualitätsaudits interner oder externer Partner</t>
  </si>
  <si>
    <t>Projektteamkosten (intern/extern)</t>
  </si>
  <si>
    <t>Kosten für externe Berater</t>
  </si>
  <si>
    <t>Kosten für temporäre Doppelstrukturen</t>
  </si>
  <si>
    <t>Stillstandszeiten während Umstellungen</t>
  </si>
  <si>
    <t>Kommunikation &amp; Change Management</t>
  </si>
  <si>
    <t>Kosten Wochenendarbeit</t>
  </si>
  <si>
    <t>5. Qualitätssicherungs- und Prüfkosten</t>
  </si>
  <si>
    <t>5.1 Präventionskosten</t>
  </si>
  <si>
    <t>5.2 Fehlerkosten</t>
  </si>
  <si>
    <t>Optimierung Anlagenauslastung</t>
  </si>
  <si>
    <t>Hinterschäumen 03</t>
  </si>
  <si>
    <t>Tandemproduktion 04</t>
  </si>
  <si>
    <t>Einfädeln HL-Rolle</t>
  </si>
  <si>
    <t>Bestückung HL-Rolle</t>
  </si>
  <si>
    <t>Aufheizen</t>
  </si>
  <si>
    <t>Ablängen</t>
  </si>
  <si>
    <t>Tiefziehen</t>
  </si>
  <si>
    <t>Kosten- Bewertungsfaktor</t>
  </si>
  <si>
    <t>Kommentar</t>
  </si>
  <si>
    <t>Verantwortlich</t>
  </si>
  <si>
    <t>6. Projekt- und Implementierungskosten</t>
  </si>
  <si>
    <t>Volumen / Monat</t>
  </si>
  <si>
    <t>Eingabefelder</t>
  </si>
  <si>
    <t>Übernahmefeld</t>
  </si>
  <si>
    <t>Tiefziehproduktion 01 - Beispieldarstellung</t>
  </si>
  <si>
    <t>7. IT‑ und Digitalisierungskosten</t>
  </si>
  <si>
    <t>Kosten Verdichten</t>
  </si>
  <si>
    <t>Faktor</t>
  </si>
  <si>
    <t>Kosten Fechern 3S</t>
  </si>
  <si>
    <t>Kosten Fechern 2S</t>
  </si>
  <si>
    <t>Rüstaufwand</t>
  </si>
  <si>
    <t>Gesamtpunktzahl</t>
  </si>
  <si>
    <t>Tim</t>
  </si>
  <si>
    <t>Hannes</t>
  </si>
  <si>
    <t>Damir</t>
  </si>
  <si>
    <t>Uwe, Harald</t>
  </si>
  <si>
    <t>Jonas</t>
  </si>
  <si>
    <t>Andreas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</si>
</sst>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2" xfId="0" applyFont="1" applyBorder="1"/>
    <xf numFmtId="0" fontId="9" fillId="4" borderId="0" xfId="0" applyFont="1" applyFill="1" applyAlignment="1">
      <alignment horizontal="centerContinuous"/>
    </xf>
    <xf numFmtId="0" fontId="4" fillId="4" borderId="0" xfId="0" applyFont="1" applyFill="1" applyAlignment="1">
      <alignment horizontal="centerContinuous"/>
    </xf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/>
    <xf numFmtId="0" fontId="2" fillId="4" borderId="0" xfId="0" applyFont="1" applyFill="1" applyAlignment="1">
      <alignment horizontal="left"/>
    </xf>
    <xf numFmtId="0" fontId="7" fillId="4" borderId="1" xfId="0" applyFont="1" applyFill="1" applyBorder="1" applyAlignment="1">
      <alignment horizontal="centerContinuous" vertical="top"/>
    </xf>
    <xf numFmtId="0" fontId="8" fillId="4" borderId="0" xfId="0" applyFont="1" applyFill="1" applyAlignment="1">
      <alignment horizontal="centerContinuous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5" borderId="0" xfId="0" applyFont="1" applyFill="1"/>
    <xf numFmtId="0" fontId="11" fillId="6" borderId="0" xfId="0" applyFont="1" applyFill="1"/>
    <xf numFmtId="0" fontId="0" fillId="2" borderId="3" xfId="0" applyFill="1" applyBorder="1"/>
    <xf numFmtId="0" fontId="0" fillId="2" borderId="4" xfId="0" applyFill="1" applyBorder="1"/>
    <xf numFmtId="0" fontId="5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0" xfId="0" applyFont="1" applyFill="1"/>
    <xf numFmtId="0" fontId="0" fillId="3" borderId="0" xfId="0" applyFill="1"/>
    <xf numFmtId="0" fontId="3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0" borderId="3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6" fillId="0" borderId="14" xfId="0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0" fontId="0" fillId="7" borderId="0" xfId="0" applyFill="1"/>
    <xf numFmtId="0" fontId="0" fillId="0" borderId="0" xfId="0" applyFill="1"/>
    <xf numFmtId="0" fontId="0" fillId="7" borderId="11" xfId="0" applyFill="1" applyBorder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Vorher-Nachher Kostenvergleich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'01_Vorher_Nachher'!$C$3</c:f>
              <c:strCache>
                <c:ptCount val="1"/>
                <c:pt idx="0">
                  <c:v>Kosten_Vorher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'01_Vorher_Nachher'!$B$4:$B$10</c:f>
              <c:strCache>
                <c:ptCount val="7"/>
                <c:pt idx="0">
                  <c:v>Bearbeitung</c:v>
                </c:pt>
                <c:pt idx="1">
                  <c:v>Rüsten</c:v>
                </c:pt>
                <c:pt idx="2">
                  <c:v>Transport</c:v>
                </c:pt>
                <c:pt idx="3">
                  <c:v>Qualität</c:v>
                </c:pt>
                <c:pt idx="4">
                  <c:v>Nacharbeit</c:v>
                </c:pt>
                <c:pt idx="5">
                  <c:v>Instandhaltung</c:v>
                </c:pt>
                <c:pt idx="6">
                  <c:v>Gemeinkosten</c:v>
                </c:pt>
              </c:strCache>
            </c:strRef>
          </c:cat>
          <c:val>
            <c:numRef>
              <c:f>'01_Vorher_Nachher'!$C$4:$C$10</c:f>
              <c:numCache>
                <c:formatCode>General</c:formatCode>
                <c:ptCount val="7"/>
                <c:pt idx="0">
                  <c:v>0.85</c:v>
                </c:pt>
                <c:pt idx="1">
                  <c:v>0.42</c:v>
                </c:pt>
                <c:pt idx="2">
                  <c:v>0.18</c:v>
                </c:pt>
                <c:pt idx="3">
                  <c:v>0.24</c:v>
                </c:pt>
                <c:pt idx="4">
                  <c:v>0.52</c:v>
                </c:pt>
                <c:pt idx="5">
                  <c:v>0.37</c:v>
                </c:pt>
                <c:pt idx="6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7-4D72-8993-BD93A882DD24}"/>
            </c:ext>
          </c:extLst>
        </c:ser>
        <c:ser>
          <c:idx val="1"/>
          <c:order val="1"/>
          <c:tx>
            <c:strRef>
              <c:f>'01_Vorher_Nachher'!$D$3</c:f>
              <c:strCache>
                <c:ptCount val="1"/>
                <c:pt idx="0">
                  <c:v>Kosten_Nachher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'01_Vorher_Nachher'!$B$4:$B$10</c:f>
              <c:strCache>
                <c:ptCount val="7"/>
                <c:pt idx="0">
                  <c:v>Bearbeitung</c:v>
                </c:pt>
                <c:pt idx="1">
                  <c:v>Rüsten</c:v>
                </c:pt>
                <c:pt idx="2">
                  <c:v>Transport</c:v>
                </c:pt>
                <c:pt idx="3">
                  <c:v>Qualität</c:v>
                </c:pt>
                <c:pt idx="4">
                  <c:v>Nacharbeit</c:v>
                </c:pt>
                <c:pt idx="5">
                  <c:v>Instandhaltung</c:v>
                </c:pt>
                <c:pt idx="6">
                  <c:v>Gemeinkosten</c:v>
                </c:pt>
              </c:strCache>
            </c:strRef>
          </c:cat>
          <c:val>
            <c:numRef>
              <c:f>'01_Vorher_Nachher'!$D$4:$D$10</c:f>
              <c:numCache>
                <c:formatCode>General</c:formatCode>
                <c:ptCount val="7"/>
                <c:pt idx="0">
                  <c:v>0.78</c:v>
                </c:pt>
                <c:pt idx="1">
                  <c:v>0.23</c:v>
                </c:pt>
                <c:pt idx="2">
                  <c:v>0.11</c:v>
                </c:pt>
                <c:pt idx="3">
                  <c:v>0.19</c:v>
                </c:pt>
                <c:pt idx="4">
                  <c:v>0.28000000000000003</c:v>
                </c:pt>
                <c:pt idx="5">
                  <c:v>0.28999999999999998</c:v>
                </c:pt>
                <c:pt idx="6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7-4D72-8993-BD93A882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Prozessbereich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Kosten €/Stk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244D8-AB6D-4CD1-95B5-68C174038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13DA-E282-4838-BCA8-1454B6968F6D}">
  <dimension ref="B1:L125"/>
  <sheetViews>
    <sheetView showGridLines="0" tabSelected="1" zoomScaleNormal="100" workbookViewId="0">
      <pane ySplit="2" topLeftCell="A3" activePane="bottomLeft" state="frozen"/>
      <selection pane="bottomLeft" activeCell="I20" sqref="I20"/>
    </sheetView>
  </sheetViews>
  <sheetFormatPr baseColWidth="10" defaultRowHeight="14.5" x14ac:dyDescent="0.35"/>
  <cols>
    <col min="1" max="1" width="5.1796875" customWidth="1"/>
    <col min="2" max="2" width="7.453125" customWidth="1"/>
    <col min="3" max="3" width="11.7265625" customWidth="1"/>
    <col min="4" max="4" width="67.26953125" customWidth="1"/>
    <col min="5" max="5" width="16.7265625" customWidth="1"/>
    <col min="6" max="6" width="14.6328125" hidden="1" customWidth="1"/>
    <col min="7" max="7" width="18.81640625" customWidth="1"/>
    <col min="8" max="8" width="16.453125" bestFit="1" customWidth="1"/>
    <col min="9" max="9" width="14.6328125" customWidth="1"/>
    <col min="10" max="10" width="9.6328125" customWidth="1"/>
  </cols>
  <sheetData>
    <row r="1" spans="2:11" ht="15.5" x14ac:dyDescent="0.35">
      <c r="B1" s="8" t="s">
        <v>94</v>
      </c>
      <c r="C1" s="9"/>
      <c r="D1" s="9"/>
      <c r="E1" s="9"/>
      <c r="F1" s="9"/>
      <c r="G1" s="9"/>
      <c r="H1" s="9"/>
      <c r="I1" s="9"/>
      <c r="J1" s="9"/>
    </row>
    <row r="2" spans="2:11" ht="15.5" x14ac:dyDescent="0.35">
      <c r="B2" s="7" t="s">
        <v>157</v>
      </c>
      <c r="C2" s="10"/>
      <c r="D2" s="10"/>
      <c r="E2" s="6" t="s">
        <v>166</v>
      </c>
      <c r="F2" s="36" t="s">
        <v>62</v>
      </c>
      <c r="G2" s="6" t="s">
        <v>168</v>
      </c>
      <c r="H2" s="6" t="s">
        <v>169</v>
      </c>
      <c r="I2" s="12" t="s">
        <v>159</v>
      </c>
      <c r="J2" s="11" t="s">
        <v>158</v>
      </c>
      <c r="K2" s="40" t="s">
        <v>167</v>
      </c>
    </row>
    <row r="3" spans="2:11" ht="15.5" x14ac:dyDescent="0.35">
      <c r="B3" s="22" t="s">
        <v>95</v>
      </c>
      <c r="C3" s="23"/>
      <c r="D3" s="23"/>
      <c r="E3" s="33"/>
      <c r="F3" s="23"/>
      <c r="G3" s="24"/>
      <c r="H3" s="33"/>
      <c r="I3" s="33"/>
      <c r="J3" s="24"/>
    </row>
    <row r="4" spans="2:11" x14ac:dyDescent="0.35">
      <c r="B4" s="25"/>
      <c r="C4" t="s">
        <v>96</v>
      </c>
      <c r="E4" s="34"/>
      <c r="G4" s="26"/>
      <c r="H4" s="34"/>
      <c r="I4" s="34"/>
      <c r="J4" s="26"/>
    </row>
    <row r="5" spans="2:11" x14ac:dyDescent="0.35">
      <c r="B5" s="25"/>
      <c r="D5" t="s">
        <v>97</v>
      </c>
      <c r="E5" s="37">
        <v>3</v>
      </c>
      <c r="F5" s="38"/>
      <c r="G5" s="39">
        <v>3</v>
      </c>
      <c r="H5" s="37">
        <v>3</v>
      </c>
      <c r="I5" s="37"/>
      <c r="J5" s="39"/>
      <c r="K5">
        <v>2</v>
      </c>
    </row>
    <row r="6" spans="2:11" x14ac:dyDescent="0.35">
      <c r="B6" s="25"/>
      <c r="D6" t="s">
        <v>98</v>
      </c>
      <c r="E6" s="37">
        <v>3</v>
      </c>
      <c r="F6" s="38"/>
      <c r="G6" s="39">
        <v>3</v>
      </c>
      <c r="H6" s="37">
        <v>4</v>
      </c>
      <c r="I6" s="37"/>
      <c r="J6" s="39"/>
      <c r="K6">
        <v>2</v>
      </c>
    </row>
    <row r="7" spans="2:11" x14ac:dyDescent="0.35">
      <c r="B7" s="25"/>
      <c r="D7" s="42" t="s">
        <v>145</v>
      </c>
      <c r="E7" s="37">
        <v>2</v>
      </c>
      <c r="F7" s="38"/>
      <c r="G7" s="39">
        <v>3</v>
      </c>
      <c r="H7" s="37">
        <v>2</v>
      </c>
      <c r="I7" s="37" t="s">
        <v>177</v>
      </c>
      <c r="J7" s="39"/>
      <c r="K7">
        <v>2</v>
      </c>
    </row>
    <row r="8" spans="2:11" x14ac:dyDescent="0.35">
      <c r="B8" s="25"/>
      <c r="D8" t="s">
        <v>103</v>
      </c>
      <c r="E8" s="37">
        <v>3</v>
      </c>
      <c r="F8" s="38"/>
      <c r="G8" s="39">
        <v>3</v>
      </c>
      <c r="H8" s="37">
        <v>3</v>
      </c>
      <c r="I8" s="37"/>
      <c r="J8" s="39"/>
      <c r="K8">
        <v>2</v>
      </c>
    </row>
    <row r="9" spans="2:11" x14ac:dyDescent="0.35">
      <c r="B9" s="25"/>
      <c r="C9" t="s">
        <v>99</v>
      </c>
      <c r="E9" s="34"/>
      <c r="G9" s="26"/>
      <c r="H9" s="34"/>
      <c r="I9" s="34"/>
      <c r="J9" s="26"/>
      <c r="K9">
        <v>2</v>
      </c>
    </row>
    <row r="10" spans="2:11" x14ac:dyDescent="0.35">
      <c r="B10" s="25"/>
      <c r="D10" s="43" t="s">
        <v>97</v>
      </c>
      <c r="E10" s="37">
        <v>3</v>
      </c>
      <c r="F10" s="38"/>
      <c r="G10" s="39">
        <v>3</v>
      </c>
      <c r="H10" s="37">
        <v>4</v>
      </c>
      <c r="I10" s="37"/>
      <c r="J10" s="39"/>
      <c r="K10">
        <v>2</v>
      </c>
    </row>
    <row r="11" spans="2:11" x14ac:dyDescent="0.35">
      <c r="B11" s="25"/>
      <c r="D11" t="s">
        <v>100</v>
      </c>
      <c r="E11" s="37">
        <v>3</v>
      </c>
      <c r="F11" s="38"/>
      <c r="G11" s="39">
        <v>3</v>
      </c>
      <c r="H11" s="37">
        <v>3</v>
      </c>
      <c r="I11" s="37"/>
      <c r="J11" s="39"/>
      <c r="K11">
        <v>2</v>
      </c>
    </row>
    <row r="12" spans="2:11" x14ac:dyDescent="0.35">
      <c r="B12" s="25"/>
      <c r="D12" t="s">
        <v>101</v>
      </c>
      <c r="E12" s="37">
        <v>3</v>
      </c>
      <c r="F12" s="38"/>
      <c r="G12" s="39">
        <v>3</v>
      </c>
      <c r="H12" s="37">
        <v>3</v>
      </c>
      <c r="I12" s="37"/>
      <c r="J12" s="39"/>
      <c r="K12">
        <v>2</v>
      </c>
    </row>
    <row r="13" spans="2:11" x14ac:dyDescent="0.35">
      <c r="B13" s="25"/>
      <c r="D13" s="42" t="s">
        <v>102</v>
      </c>
      <c r="E13" s="37">
        <v>4</v>
      </c>
      <c r="F13" s="38"/>
      <c r="G13" s="39">
        <v>3</v>
      </c>
      <c r="H13" s="37">
        <v>3</v>
      </c>
      <c r="I13" s="37" t="s">
        <v>177</v>
      </c>
      <c r="J13" s="39"/>
      <c r="K13">
        <v>2</v>
      </c>
    </row>
    <row r="14" spans="2:11" x14ac:dyDescent="0.35">
      <c r="B14" s="27"/>
      <c r="C14" s="28"/>
      <c r="D14" s="28" t="s">
        <v>103</v>
      </c>
      <c r="E14" s="35">
        <v>3</v>
      </c>
      <c r="F14" s="28"/>
      <c r="G14" s="29">
        <v>3</v>
      </c>
      <c r="H14" s="35">
        <v>2</v>
      </c>
      <c r="I14" s="35"/>
      <c r="J14" s="29"/>
      <c r="K14">
        <v>2</v>
      </c>
    </row>
    <row r="15" spans="2:11" ht="15.5" x14ac:dyDescent="0.35">
      <c r="B15" s="22" t="s">
        <v>104</v>
      </c>
      <c r="C15" s="23"/>
      <c r="D15" s="23"/>
      <c r="E15" s="33"/>
      <c r="F15" s="23"/>
      <c r="G15" s="24"/>
      <c r="H15" s="33"/>
      <c r="I15" s="33"/>
      <c r="J15" s="24"/>
      <c r="K15">
        <v>1</v>
      </c>
    </row>
    <row r="16" spans="2:11" x14ac:dyDescent="0.35">
      <c r="B16" s="25"/>
      <c r="C16" t="s">
        <v>105</v>
      </c>
      <c r="E16" s="37">
        <v>3</v>
      </c>
      <c r="F16" s="38"/>
      <c r="G16" s="39">
        <v>3</v>
      </c>
      <c r="H16" s="37">
        <v>3</v>
      </c>
      <c r="I16" s="37"/>
      <c r="J16" s="39"/>
      <c r="K16">
        <v>1</v>
      </c>
    </row>
    <row r="17" spans="2:11" x14ac:dyDescent="0.35">
      <c r="B17" s="25"/>
      <c r="C17" s="42" t="s">
        <v>106</v>
      </c>
      <c r="D17" s="42"/>
      <c r="E17" s="37">
        <v>4</v>
      </c>
      <c r="F17" s="38"/>
      <c r="G17" s="39">
        <v>3</v>
      </c>
      <c r="H17" s="37">
        <v>2</v>
      </c>
      <c r="I17" s="37" t="s">
        <v>177</v>
      </c>
      <c r="J17" s="39"/>
      <c r="K17">
        <v>1</v>
      </c>
    </row>
    <row r="18" spans="2:11" x14ac:dyDescent="0.35">
      <c r="B18" s="25"/>
      <c r="C18" s="42" t="s">
        <v>107</v>
      </c>
      <c r="D18" s="42"/>
      <c r="E18" s="37">
        <v>5</v>
      </c>
      <c r="F18" s="38"/>
      <c r="G18" s="39">
        <v>3</v>
      </c>
      <c r="H18" s="37">
        <v>3</v>
      </c>
      <c r="I18" s="37" t="s">
        <v>177</v>
      </c>
      <c r="J18" s="39"/>
      <c r="K18">
        <v>1</v>
      </c>
    </row>
    <row r="19" spans="2:11" x14ac:dyDescent="0.35">
      <c r="B19" s="25"/>
      <c r="C19" s="42" t="s">
        <v>108</v>
      </c>
      <c r="D19" s="42"/>
      <c r="E19" s="37">
        <v>2</v>
      </c>
      <c r="F19" s="38"/>
      <c r="G19" s="39">
        <v>3</v>
      </c>
      <c r="H19" s="37">
        <v>3</v>
      </c>
      <c r="I19" s="37" t="s">
        <v>177</v>
      </c>
      <c r="J19" s="39"/>
      <c r="K19">
        <v>1</v>
      </c>
    </row>
    <row r="20" spans="2:11" x14ac:dyDescent="0.35">
      <c r="B20" s="25"/>
      <c r="C20" t="s">
        <v>109</v>
      </c>
      <c r="E20" s="37">
        <v>3</v>
      </c>
      <c r="F20" s="38"/>
      <c r="G20" s="39">
        <v>3</v>
      </c>
      <c r="H20" s="37">
        <v>3</v>
      </c>
      <c r="I20" s="37"/>
      <c r="J20" s="39"/>
      <c r="K20">
        <v>1</v>
      </c>
    </row>
    <row r="21" spans="2:11" x14ac:dyDescent="0.35">
      <c r="B21" s="27"/>
      <c r="C21" s="28" t="s">
        <v>110</v>
      </c>
      <c r="D21" s="28"/>
      <c r="E21" s="35">
        <v>3</v>
      </c>
      <c r="F21" s="28"/>
      <c r="G21" s="29">
        <v>3</v>
      </c>
      <c r="H21" s="35">
        <v>2</v>
      </c>
      <c r="I21" s="35"/>
      <c r="J21" s="29"/>
      <c r="K21">
        <v>1</v>
      </c>
    </row>
    <row r="22" spans="2:11" ht="15.5" x14ac:dyDescent="0.35">
      <c r="B22" s="22" t="s">
        <v>111</v>
      </c>
      <c r="C22" s="23"/>
      <c r="D22" s="23"/>
      <c r="E22" s="33"/>
      <c r="F22" s="23"/>
      <c r="G22" s="24"/>
      <c r="H22" s="33"/>
      <c r="I22" s="33"/>
      <c r="J22" s="24"/>
      <c r="K22">
        <v>1</v>
      </c>
    </row>
    <row r="23" spans="2:11" x14ac:dyDescent="0.35">
      <c r="B23" s="25"/>
      <c r="C23" t="s">
        <v>112</v>
      </c>
      <c r="E23" s="37"/>
      <c r="F23" s="38"/>
      <c r="G23" s="39"/>
      <c r="H23" s="37"/>
      <c r="I23" s="37"/>
      <c r="J23" s="39"/>
      <c r="K23">
        <v>1</v>
      </c>
    </row>
    <row r="24" spans="2:11" x14ac:dyDescent="0.35">
      <c r="B24" s="25"/>
      <c r="D24" t="s">
        <v>113</v>
      </c>
      <c r="E24" s="37">
        <v>3</v>
      </c>
      <c r="F24" s="38"/>
      <c r="G24" s="39">
        <v>3</v>
      </c>
      <c r="H24" s="37">
        <v>3</v>
      </c>
      <c r="I24" s="37"/>
      <c r="J24" s="39"/>
      <c r="K24">
        <v>2</v>
      </c>
    </row>
    <row r="25" spans="2:11" x14ac:dyDescent="0.35">
      <c r="B25" s="25"/>
      <c r="D25" t="s">
        <v>114</v>
      </c>
      <c r="E25" s="37">
        <v>3</v>
      </c>
      <c r="F25" s="38"/>
      <c r="G25" s="39">
        <v>3</v>
      </c>
      <c r="H25" s="37">
        <v>3</v>
      </c>
      <c r="I25" s="37"/>
      <c r="J25" s="39"/>
      <c r="K25">
        <v>2</v>
      </c>
    </row>
    <row r="26" spans="2:11" x14ac:dyDescent="0.35">
      <c r="B26" s="25"/>
      <c r="D26" s="42" t="s">
        <v>115</v>
      </c>
      <c r="E26" s="37">
        <v>3</v>
      </c>
      <c r="F26" s="38"/>
      <c r="G26" s="39">
        <v>2</v>
      </c>
      <c r="H26" s="37">
        <v>2</v>
      </c>
      <c r="I26" s="37" t="s">
        <v>172</v>
      </c>
      <c r="J26" s="39"/>
      <c r="K26">
        <v>2</v>
      </c>
    </row>
    <row r="27" spans="2:11" x14ac:dyDescent="0.35">
      <c r="B27" s="25"/>
      <c r="C27" t="s">
        <v>116</v>
      </c>
      <c r="E27" s="37"/>
      <c r="F27" s="38"/>
      <c r="G27" s="39"/>
      <c r="H27" s="37"/>
      <c r="I27" s="37"/>
      <c r="J27" s="39"/>
      <c r="K27">
        <v>2</v>
      </c>
    </row>
    <row r="28" spans="2:11" x14ac:dyDescent="0.35">
      <c r="B28" s="25"/>
      <c r="D28" s="42" t="s">
        <v>117</v>
      </c>
      <c r="E28" s="37">
        <v>4</v>
      </c>
      <c r="F28" s="38"/>
      <c r="G28" s="39">
        <v>3</v>
      </c>
      <c r="H28" s="37">
        <v>3</v>
      </c>
      <c r="I28" s="37" t="s">
        <v>172</v>
      </c>
      <c r="J28" s="39"/>
      <c r="K28">
        <v>2</v>
      </c>
    </row>
    <row r="29" spans="2:11" x14ac:dyDescent="0.35">
      <c r="B29" s="25"/>
      <c r="D29" s="42" t="s">
        <v>118</v>
      </c>
      <c r="E29" s="37">
        <v>4</v>
      </c>
      <c r="F29" s="38"/>
      <c r="G29" s="39">
        <v>3</v>
      </c>
      <c r="H29" s="37">
        <v>2</v>
      </c>
      <c r="I29" s="37" t="s">
        <v>173</v>
      </c>
      <c r="J29" s="39"/>
      <c r="K29">
        <v>2</v>
      </c>
    </row>
    <row r="30" spans="2:11" x14ac:dyDescent="0.35">
      <c r="B30" s="25"/>
      <c r="D30" t="s">
        <v>119</v>
      </c>
      <c r="E30" s="37">
        <v>3</v>
      </c>
      <c r="F30" s="38"/>
      <c r="G30" s="39">
        <v>3</v>
      </c>
      <c r="H30" s="37">
        <v>3</v>
      </c>
      <c r="I30" s="37"/>
      <c r="J30" s="39"/>
      <c r="K30">
        <v>2</v>
      </c>
    </row>
    <row r="31" spans="2:11" x14ac:dyDescent="0.35">
      <c r="B31" s="27"/>
      <c r="C31" s="28"/>
      <c r="D31" s="28" t="s">
        <v>120</v>
      </c>
      <c r="E31" s="35">
        <v>3</v>
      </c>
      <c r="F31" s="28"/>
      <c r="G31" s="29">
        <v>3</v>
      </c>
      <c r="H31" s="35">
        <v>3</v>
      </c>
      <c r="I31" s="35"/>
      <c r="J31" s="29"/>
      <c r="K31">
        <v>2</v>
      </c>
    </row>
    <row r="32" spans="2:11" ht="15.5" x14ac:dyDescent="0.35">
      <c r="B32" s="22" t="s">
        <v>121</v>
      </c>
      <c r="C32" s="23"/>
      <c r="D32" s="23"/>
      <c r="E32" s="33"/>
      <c r="F32" s="23"/>
      <c r="G32" s="24"/>
      <c r="H32" s="33"/>
      <c r="I32" s="33"/>
      <c r="J32" s="24"/>
      <c r="K32">
        <v>1</v>
      </c>
    </row>
    <row r="33" spans="2:11" hidden="1" x14ac:dyDescent="0.35">
      <c r="B33" s="25"/>
      <c r="C33" t="s">
        <v>122</v>
      </c>
      <c r="E33" s="37"/>
      <c r="F33" s="38"/>
      <c r="G33" s="39"/>
      <c r="H33" s="37"/>
      <c r="I33" s="37"/>
      <c r="J33" s="39"/>
      <c r="K33">
        <v>1</v>
      </c>
    </row>
    <row r="34" spans="2:11" x14ac:dyDescent="0.35">
      <c r="B34" s="25"/>
      <c r="C34" t="s">
        <v>123</v>
      </c>
      <c r="E34" s="37">
        <v>3</v>
      </c>
      <c r="F34" s="38"/>
      <c r="G34" s="39">
        <v>3</v>
      </c>
      <c r="H34" s="37">
        <v>3</v>
      </c>
      <c r="I34" s="37"/>
      <c r="J34" s="39"/>
      <c r="K34">
        <v>1</v>
      </c>
    </row>
    <row r="35" spans="2:11" x14ac:dyDescent="0.35">
      <c r="B35" s="25"/>
      <c r="C35" s="30" t="s">
        <v>149</v>
      </c>
      <c r="D35" s="31"/>
      <c r="E35" s="37">
        <v>5</v>
      </c>
      <c r="F35" s="38"/>
      <c r="G35" s="39">
        <v>3</v>
      </c>
      <c r="H35" s="37">
        <v>3</v>
      </c>
      <c r="I35" s="37" t="s">
        <v>174</v>
      </c>
      <c r="J35" s="39"/>
      <c r="K35">
        <v>2</v>
      </c>
    </row>
    <row r="36" spans="2:11" x14ac:dyDescent="0.35">
      <c r="B36" s="25"/>
      <c r="C36" t="s">
        <v>124</v>
      </c>
      <c r="E36" s="37">
        <v>3</v>
      </c>
      <c r="F36" s="38"/>
      <c r="G36" s="39">
        <v>3</v>
      </c>
      <c r="H36" s="37">
        <v>3</v>
      </c>
      <c r="I36" s="37"/>
      <c r="J36" s="39"/>
      <c r="K36">
        <v>1</v>
      </c>
    </row>
    <row r="37" spans="2:11" x14ac:dyDescent="0.35">
      <c r="B37" s="25"/>
      <c r="C37" t="s">
        <v>125</v>
      </c>
      <c r="E37" s="37">
        <v>3</v>
      </c>
      <c r="F37" s="38"/>
      <c r="G37" s="39">
        <v>3</v>
      </c>
      <c r="H37" s="37">
        <v>3</v>
      </c>
      <c r="I37" s="37"/>
      <c r="J37" s="39"/>
      <c r="K37">
        <v>1</v>
      </c>
    </row>
    <row r="38" spans="2:11" hidden="1" x14ac:dyDescent="0.35">
      <c r="B38" s="25"/>
      <c r="C38" t="s">
        <v>126</v>
      </c>
      <c r="E38" s="37"/>
      <c r="F38" s="38"/>
      <c r="G38" s="39"/>
      <c r="H38" s="37"/>
      <c r="I38" s="37"/>
      <c r="J38" s="39"/>
      <c r="K38">
        <v>1</v>
      </c>
    </row>
    <row r="39" spans="2:11" x14ac:dyDescent="0.35">
      <c r="B39" s="25"/>
      <c r="C39" t="s">
        <v>127</v>
      </c>
      <c r="E39" s="37">
        <v>3</v>
      </c>
      <c r="F39" s="38"/>
      <c r="G39" s="39">
        <v>3</v>
      </c>
      <c r="H39" s="37">
        <v>3</v>
      </c>
      <c r="I39" s="37"/>
      <c r="J39" s="39"/>
      <c r="K39">
        <v>1</v>
      </c>
    </row>
    <row r="40" spans="2:11" x14ac:dyDescent="0.35">
      <c r="B40" s="27"/>
      <c r="C40" s="44" t="s">
        <v>170</v>
      </c>
      <c r="D40" s="44"/>
      <c r="E40" s="37">
        <v>2</v>
      </c>
      <c r="F40" s="38"/>
      <c r="G40" s="39">
        <v>4</v>
      </c>
      <c r="H40" s="37">
        <v>4</v>
      </c>
      <c r="I40" s="37" t="s">
        <v>175</v>
      </c>
      <c r="J40" s="39"/>
      <c r="K40">
        <v>1</v>
      </c>
    </row>
    <row r="41" spans="2:11" ht="15.5" x14ac:dyDescent="0.35">
      <c r="B41" s="22" t="s">
        <v>146</v>
      </c>
      <c r="C41" s="23"/>
      <c r="D41" s="23"/>
      <c r="E41" s="33"/>
      <c r="F41" s="23"/>
      <c r="G41" s="24"/>
      <c r="H41" s="33"/>
      <c r="I41" s="33"/>
      <c r="J41" s="24"/>
      <c r="K41">
        <v>1</v>
      </c>
    </row>
    <row r="42" spans="2:11" x14ac:dyDescent="0.35">
      <c r="B42" s="25"/>
      <c r="C42" t="s">
        <v>133</v>
      </c>
      <c r="E42" s="37"/>
      <c r="F42" s="38"/>
      <c r="G42" s="39"/>
      <c r="H42" s="37"/>
      <c r="I42" s="37"/>
      <c r="J42" s="39"/>
      <c r="K42">
        <v>1</v>
      </c>
    </row>
    <row r="43" spans="2:11" x14ac:dyDescent="0.35">
      <c r="B43" s="25"/>
      <c r="C43" t="s">
        <v>147</v>
      </c>
      <c r="E43" s="37"/>
      <c r="F43" s="38"/>
      <c r="G43" s="39"/>
      <c r="H43" s="37"/>
      <c r="I43" s="37"/>
      <c r="J43" s="39"/>
      <c r="K43">
        <v>1</v>
      </c>
    </row>
    <row r="44" spans="2:11" x14ac:dyDescent="0.35">
      <c r="B44" s="25"/>
      <c r="D44" t="s">
        <v>134</v>
      </c>
      <c r="E44" s="37">
        <v>3</v>
      </c>
      <c r="F44" s="38"/>
      <c r="G44" s="39">
        <v>3</v>
      </c>
      <c r="H44" s="37">
        <v>3</v>
      </c>
      <c r="I44" s="37"/>
      <c r="J44" s="39"/>
      <c r="K44">
        <v>1</v>
      </c>
    </row>
    <row r="45" spans="2:11" x14ac:dyDescent="0.35">
      <c r="B45" s="25"/>
      <c r="D45" t="s">
        <v>135</v>
      </c>
      <c r="E45" s="37">
        <v>3</v>
      </c>
      <c r="F45" s="38"/>
      <c r="G45" s="39">
        <v>3</v>
      </c>
      <c r="H45" s="37">
        <v>3</v>
      </c>
      <c r="I45" s="37"/>
      <c r="J45" s="39"/>
      <c r="K45">
        <v>1</v>
      </c>
    </row>
    <row r="46" spans="2:11" x14ac:dyDescent="0.35">
      <c r="B46" s="25"/>
      <c r="D46" t="s">
        <v>136</v>
      </c>
      <c r="E46" s="37">
        <v>3</v>
      </c>
      <c r="F46" s="38"/>
      <c r="G46" s="39">
        <v>3</v>
      </c>
      <c r="H46" s="37">
        <v>3</v>
      </c>
      <c r="I46" s="37"/>
      <c r="J46" s="39"/>
      <c r="K46">
        <v>1</v>
      </c>
    </row>
    <row r="47" spans="2:11" x14ac:dyDescent="0.35">
      <c r="B47" s="25"/>
      <c r="C47" t="s">
        <v>148</v>
      </c>
      <c r="E47" s="37"/>
      <c r="F47" s="38"/>
      <c r="G47" s="39"/>
      <c r="H47" s="37"/>
      <c r="I47" s="37"/>
      <c r="J47" s="39"/>
      <c r="K47">
        <v>1</v>
      </c>
    </row>
    <row r="48" spans="2:11" x14ac:dyDescent="0.35">
      <c r="B48" s="25"/>
      <c r="D48" s="42" t="s">
        <v>137</v>
      </c>
      <c r="E48" s="37">
        <v>4</v>
      </c>
      <c r="F48" s="38"/>
      <c r="G48" s="39">
        <v>3</v>
      </c>
      <c r="H48" s="37">
        <v>2</v>
      </c>
      <c r="I48" s="37" t="s">
        <v>176</v>
      </c>
      <c r="J48" s="39"/>
      <c r="K48">
        <v>1</v>
      </c>
    </row>
    <row r="49" spans="2:11" hidden="1" x14ac:dyDescent="0.35">
      <c r="B49" s="25"/>
      <c r="D49" t="s">
        <v>30</v>
      </c>
      <c r="E49" s="37"/>
      <c r="F49" s="38"/>
      <c r="G49" s="39"/>
      <c r="H49" s="37"/>
      <c r="I49" s="37"/>
      <c r="J49" s="39"/>
      <c r="K49">
        <v>1</v>
      </c>
    </row>
    <row r="50" spans="2:11" x14ac:dyDescent="0.35">
      <c r="B50" s="25"/>
      <c r="D50" t="s">
        <v>138</v>
      </c>
      <c r="E50" s="37">
        <v>3</v>
      </c>
      <c r="F50" s="38"/>
      <c r="G50" s="39">
        <v>3</v>
      </c>
      <c r="H50" s="37">
        <v>3</v>
      </c>
      <c r="I50" s="37"/>
      <c r="J50" s="39"/>
      <c r="K50">
        <v>1</v>
      </c>
    </row>
    <row r="51" spans="2:11" x14ac:dyDescent="0.35">
      <c r="B51" s="27"/>
      <c r="C51" s="28"/>
      <c r="D51" s="28" t="s">
        <v>139</v>
      </c>
      <c r="E51" s="35">
        <v>3</v>
      </c>
      <c r="F51" s="28"/>
      <c r="G51" s="29">
        <v>3</v>
      </c>
      <c r="H51" s="35">
        <v>3</v>
      </c>
      <c r="I51" s="35"/>
      <c r="J51" s="29"/>
      <c r="K51">
        <v>1</v>
      </c>
    </row>
    <row r="52" spans="2:11" x14ac:dyDescent="0.35">
      <c r="B52" s="32" t="s">
        <v>160</v>
      </c>
      <c r="C52" s="23"/>
      <c r="D52" s="23"/>
      <c r="E52" s="33"/>
      <c r="F52" s="23"/>
      <c r="G52" s="24"/>
      <c r="H52" s="33"/>
      <c r="I52" s="33"/>
      <c r="J52" s="24"/>
      <c r="K52">
        <v>1</v>
      </c>
    </row>
    <row r="53" spans="2:11" hidden="1" x14ac:dyDescent="0.35">
      <c r="B53" s="25"/>
      <c r="C53" t="s">
        <v>140</v>
      </c>
      <c r="E53" s="37"/>
      <c r="F53" s="38"/>
      <c r="G53" s="39"/>
      <c r="H53" s="37"/>
      <c r="I53" s="37"/>
      <c r="J53" s="39"/>
      <c r="K53">
        <v>1</v>
      </c>
    </row>
    <row r="54" spans="2:11" hidden="1" x14ac:dyDescent="0.35">
      <c r="B54" s="25"/>
      <c r="C54" t="s">
        <v>141</v>
      </c>
      <c r="E54" s="37"/>
      <c r="F54" s="38"/>
      <c r="G54" s="39"/>
      <c r="H54" s="37"/>
      <c r="I54" s="37"/>
      <c r="J54" s="39"/>
      <c r="K54">
        <v>1</v>
      </c>
    </row>
    <row r="55" spans="2:11" hidden="1" x14ac:dyDescent="0.35">
      <c r="B55" s="25"/>
      <c r="C55" t="s">
        <v>142</v>
      </c>
      <c r="E55" s="37"/>
      <c r="F55" s="38"/>
      <c r="G55" s="39"/>
      <c r="H55" s="37"/>
      <c r="I55" s="37"/>
      <c r="J55" s="39"/>
      <c r="K55">
        <v>1</v>
      </c>
    </row>
    <row r="56" spans="2:11" hidden="1" x14ac:dyDescent="0.35">
      <c r="B56" s="25"/>
      <c r="C56" t="s">
        <v>143</v>
      </c>
      <c r="E56" s="37"/>
      <c r="F56" s="38"/>
      <c r="G56" s="39"/>
      <c r="H56" s="37"/>
      <c r="I56" s="37"/>
      <c r="J56" s="39"/>
      <c r="K56">
        <v>1</v>
      </c>
    </row>
    <row r="57" spans="2:11" hidden="1" x14ac:dyDescent="0.35">
      <c r="B57" s="27"/>
      <c r="C57" s="28" t="s">
        <v>144</v>
      </c>
      <c r="D57" s="28"/>
      <c r="E57" s="35"/>
      <c r="F57" s="28"/>
      <c r="G57" s="29"/>
      <c r="H57" s="35"/>
      <c r="I57" s="35"/>
      <c r="J57" s="29"/>
      <c r="K57">
        <v>1</v>
      </c>
    </row>
    <row r="58" spans="2:11" x14ac:dyDescent="0.35">
      <c r="B58" s="32" t="s">
        <v>165</v>
      </c>
      <c r="C58" s="23"/>
      <c r="D58" s="23"/>
      <c r="E58" s="33"/>
      <c r="F58" s="23"/>
      <c r="G58" s="24"/>
      <c r="H58" s="33"/>
      <c r="I58" s="33"/>
      <c r="J58" s="24"/>
      <c r="K58">
        <v>1</v>
      </c>
    </row>
    <row r="59" spans="2:11" hidden="1" x14ac:dyDescent="0.35">
      <c r="B59" s="25"/>
      <c r="C59" t="s">
        <v>128</v>
      </c>
      <c r="E59" s="37"/>
      <c r="F59" s="38"/>
      <c r="G59" s="39"/>
      <c r="H59" s="37"/>
      <c r="I59" s="37"/>
      <c r="J59" s="39"/>
      <c r="K59">
        <v>1</v>
      </c>
    </row>
    <row r="60" spans="2:11" hidden="1" x14ac:dyDescent="0.35">
      <c r="B60" s="25"/>
      <c r="C60" t="s">
        <v>129</v>
      </c>
      <c r="E60" s="37"/>
      <c r="F60" s="38"/>
      <c r="G60" s="39"/>
      <c r="H60" s="37"/>
      <c r="I60" s="37"/>
      <c r="J60" s="39"/>
      <c r="K60">
        <v>1</v>
      </c>
    </row>
    <row r="61" spans="2:11" hidden="1" x14ac:dyDescent="0.35">
      <c r="B61" s="25"/>
      <c r="C61" t="s">
        <v>130</v>
      </c>
      <c r="E61" s="37"/>
      <c r="F61" s="38"/>
      <c r="G61" s="39"/>
      <c r="H61" s="37"/>
      <c r="I61" s="37"/>
      <c r="J61" s="39"/>
      <c r="K61">
        <v>1</v>
      </c>
    </row>
    <row r="62" spans="2:11" hidden="1" x14ac:dyDescent="0.35">
      <c r="B62" s="25"/>
      <c r="C62" t="s">
        <v>131</v>
      </c>
      <c r="E62" s="37"/>
      <c r="F62" s="38"/>
      <c r="G62" s="39"/>
      <c r="H62" s="37"/>
      <c r="I62" s="37"/>
      <c r="J62" s="39"/>
      <c r="K62">
        <v>1</v>
      </c>
    </row>
    <row r="63" spans="2:11" hidden="1" x14ac:dyDescent="0.35">
      <c r="B63" s="27"/>
      <c r="C63" s="28" t="s">
        <v>132</v>
      </c>
      <c r="D63" s="28"/>
      <c r="E63" s="35"/>
      <c r="F63" s="28"/>
      <c r="G63" s="29"/>
      <c r="H63" s="35"/>
      <c r="I63" s="35"/>
      <c r="J63" s="29"/>
      <c r="K63">
        <v>1</v>
      </c>
    </row>
    <row r="66" spans="4:10" x14ac:dyDescent="0.35">
      <c r="D66" s="41" t="s">
        <v>171</v>
      </c>
      <c r="E66">
        <f>SUM(E68:E125)</f>
        <v>157</v>
      </c>
      <c r="F66">
        <f t="shared" ref="F66:H66" si="0">SUM(F68:F125)</f>
        <v>0</v>
      </c>
      <c r="G66">
        <f t="shared" si="0"/>
        <v>146</v>
      </c>
      <c r="H66">
        <f t="shared" si="0"/>
        <v>139</v>
      </c>
    </row>
    <row r="68" spans="4:10" hidden="1" x14ac:dyDescent="0.35">
      <c r="E68">
        <f>E5*K5</f>
        <v>6</v>
      </c>
      <c r="F68">
        <f>F5*L5</f>
        <v>0</v>
      </c>
      <c r="G68">
        <f>G5*K5</f>
        <v>6</v>
      </c>
      <c r="H68">
        <f>H5*K5</f>
        <v>6</v>
      </c>
      <c r="I68">
        <f>I5*M5</f>
        <v>0</v>
      </c>
      <c r="J68">
        <f>J5*N5</f>
        <v>0</v>
      </c>
    </row>
    <row r="69" spans="4:10" hidden="1" x14ac:dyDescent="0.35">
      <c r="E69">
        <f>E6*K6</f>
        <v>6</v>
      </c>
      <c r="F69">
        <f>F6*L6</f>
        <v>0</v>
      </c>
      <c r="G69">
        <f>G6*K6</f>
        <v>6</v>
      </c>
      <c r="H69">
        <f>H6*K6</f>
        <v>8</v>
      </c>
      <c r="I69">
        <f>I6*M6</f>
        <v>0</v>
      </c>
      <c r="J69">
        <f>J6*N6</f>
        <v>0</v>
      </c>
    </row>
    <row r="70" spans="4:10" hidden="1" x14ac:dyDescent="0.35">
      <c r="E70">
        <f>E7*K7</f>
        <v>4</v>
      </c>
      <c r="F70">
        <f>F7*L7</f>
        <v>0</v>
      </c>
      <c r="G70">
        <f>G7*K7</f>
        <v>6</v>
      </c>
      <c r="H70">
        <f>H7*K7</f>
        <v>4</v>
      </c>
      <c r="I70" t="e">
        <f>I7*M7</f>
        <v>#VALUE!</v>
      </c>
      <c r="J70">
        <f>J7*N7</f>
        <v>0</v>
      </c>
    </row>
    <row r="71" spans="4:10" hidden="1" x14ac:dyDescent="0.35">
      <c r="E71">
        <f>E8*K8</f>
        <v>6</v>
      </c>
      <c r="F71">
        <f>F8*L8</f>
        <v>0</v>
      </c>
      <c r="G71">
        <f>G8*K8</f>
        <v>6</v>
      </c>
      <c r="H71">
        <f>H8*K8</f>
        <v>6</v>
      </c>
      <c r="I71">
        <f>I8*M8</f>
        <v>0</v>
      </c>
      <c r="J71">
        <f>J8*N8</f>
        <v>0</v>
      </c>
    </row>
    <row r="72" spans="4:10" hidden="1" x14ac:dyDescent="0.35">
      <c r="E72">
        <f>E9*K9</f>
        <v>0</v>
      </c>
      <c r="F72">
        <f>F9*L9</f>
        <v>0</v>
      </c>
      <c r="G72">
        <f>G9*K9</f>
        <v>0</v>
      </c>
      <c r="H72">
        <f>H9*K9</f>
        <v>0</v>
      </c>
      <c r="I72">
        <f>I9*M9</f>
        <v>0</v>
      </c>
      <c r="J72">
        <f>J9*N9</f>
        <v>0</v>
      </c>
    </row>
    <row r="73" spans="4:10" hidden="1" x14ac:dyDescent="0.35">
      <c r="E73">
        <f>E11*K11</f>
        <v>6</v>
      </c>
      <c r="F73">
        <f>F11*L11</f>
        <v>0</v>
      </c>
      <c r="G73">
        <f t="shared" ref="G73:G125" si="1">G11*K11</f>
        <v>6</v>
      </c>
      <c r="H73">
        <f t="shared" ref="H73:H125" si="2">H11*K11</f>
        <v>6</v>
      </c>
      <c r="I73">
        <f>I11*M11</f>
        <v>0</v>
      </c>
      <c r="J73">
        <f>J11*N11</f>
        <v>0</v>
      </c>
    </row>
    <row r="74" spans="4:10" hidden="1" x14ac:dyDescent="0.35">
      <c r="E74">
        <f>E12*K12</f>
        <v>6</v>
      </c>
      <c r="F74">
        <f>F12*L12</f>
        <v>0</v>
      </c>
      <c r="G74">
        <f t="shared" si="1"/>
        <v>6</v>
      </c>
      <c r="H74">
        <f t="shared" si="2"/>
        <v>6</v>
      </c>
      <c r="I74">
        <f>I12*M12</f>
        <v>0</v>
      </c>
      <c r="J74">
        <f>J12*N12</f>
        <v>0</v>
      </c>
    </row>
    <row r="75" spans="4:10" hidden="1" x14ac:dyDescent="0.35">
      <c r="E75">
        <f>E13*K13</f>
        <v>8</v>
      </c>
      <c r="F75">
        <f>F13*L13</f>
        <v>0</v>
      </c>
      <c r="G75">
        <f t="shared" si="1"/>
        <v>6</v>
      </c>
      <c r="H75">
        <f t="shared" si="2"/>
        <v>6</v>
      </c>
      <c r="I75" t="e">
        <f>I13*M13</f>
        <v>#VALUE!</v>
      </c>
      <c r="J75">
        <f>J13*N13</f>
        <v>0</v>
      </c>
    </row>
    <row r="76" spans="4:10" hidden="1" x14ac:dyDescent="0.35">
      <c r="E76">
        <f>E14*K14</f>
        <v>6</v>
      </c>
      <c r="F76">
        <f>F14*L14</f>
        <v>0</v>
      </c>
      <c r="G76">
        <f t="shared" si="1"/>
        <v>6</v>
      </c>
      <c r="H76">
        <f t="shared" si="2"/>
        <v>4</v>
      </c>
      <c r="I76">
        <f>I14*M14</f>
        <v>0</v>
      </c>
      <c r="J76">
        <f>J14*N14</f>
        <v>0</v>
      </c>
    </row>
    <row r="77" spans="4:10" hidden="1" x14ac:dyDescent="0.35">
      <c r="E77">
        <f>E15*K15</f>
        <v>0</v>
      </c>
      <c r="F77">
        <f>F15*L15</f>
        <v>0</v>
      </c>
      <c r="G77">
        <f t="shared" si="1"/>
        <v>0</v>
      </c>
      <c r="H77">
        <f t="shared" si="2"/>
        <v>0</v>
      </c>
      <c r="I77">
        <f>I15*M15</f>
        <v>0</v>
      </c>
      <c r="J77">
        <f>J15*N15</f>
        <v>0</v>
      </c>
    </row>
    <row r="78" spans="4:10" hidden="1" x14ac:dyDescent="0.35">
      <c r="E78">
        <f>E16*K16</f>
        <v>3</v>
      </c>
      <c r="F78">
        <f>F16*L16</f>
        <v>0</v>
      </c>
      <c r="G78">
        <f t="shared" si="1"/>
        <v>3</v>
      </c>
      <c r="H78">
        <f t="shared" si="2"/>
        <v>3</v>
      </c>
      <c r="I78">
        <f>I16*M16</f>
        <v>0</v>
      </c>
      <c r="J78">
        <f>J16*N16</f>
        <v>0</v>
      </c>
    </row>
    <row r="79" spans="4:10" hidden="1" x14ac:dyDescent="0.35">
      <c r="E79">
        <f>E17*K17</f>
        <v>4</v>
      </c>
      <c r="F79">
        <f>F17*L17</f>
        <v>0</v>
      </c>
      <c r="G79">
        <f t="shared" si="1"/>
        <v>3</v>
      </c>
      <c r="H79">
        <f t="shared" si="2"/>
        <v>2</v>
      </c>
      <c r="I79" t="e">
        <f>I17*M17</f>
        <v>#VALUE!</v>
      </c>
      <c r="J79">
        <f>J17*N17</f>
        <v>0</v>
      </c>
    </row>
    <row r="80" spans="4:10" hidden="1" x14ac:dyDescent="0.35">
      <c r="E80">
        <f>E18*K18</f>
        <v>5</v>
      </c>
      <c r="F80">
        <f>F18*L18</f>
        <v>0</v>
      </c>
      <c r="G80">
        <f t="shared" si="1"/>
        <v>3</v>
      </c>
      <c r="H80">
        <f t="shared" si="2"/>
        <v>3</v>
      </c>
      <c r="I80" t="e">
        <f>I18*M18</f>
        <v>#VALUE!</v>
      </c>
      <c r="J80">
        <f>J18*N18</f>
        <v>0</v>
      </c>
    </row>
    <row r="81" spans="5:10" hidden="1" x14ac:dyDescent="0.35">
      <c r="E81">
        <f>E19*K19</f>
        <v>2</v>
      </c>
      <c r="F81">
        <f>F19*L19</f>
        <v>0</v>
      </c>
      <c r="G81">
        <f t="shared" si="1"/>
        <v>3</v>
      </c>
      <c r="H81">
        <f t="shared" si="2"/>
        <v>3</v>
      </c>
      <c r="I81" t="e">
        <f>I19*M19</f>
        <v>#VALUE!</v>
      </c>
      <c r="J81">
        <f>J19*N19</f>
        <v>0</v>
      </c>
    </row>
    <row r="82" spans="5:10" hidden="1" x14ac:dyDescent="0.35">
      <c r="E82">
        <f>E20*K20</f>
        <v>3</v>
      </c>
      <c r="F82">
        <f>F20*L20</f>
        <v>0</v>
      </c>
      <c r="G82">
        <f t="shared" si="1"/>
        <v>3</v>
      </c>
      <c r="H82">
        <f t="shared" si="2"/>
        <v>3</v>
      </c>
      <c r="I82">
        <f>I20*M20</f>
        <v>0</v>
      </c>
      <c r="J82">
        <f>J20*N20</f>
        <v>0</v>
      </c>
    </row>
    <row r="83" spans="5:10" hidden="1" x14ac:dyDescent="0.35">
      <c r="E83">
        <f>E21*K21</f>
        <v>3</v>
      </c>
      <c r="F83">
        <f>F21*L21</f>
        <v>0</v>
      </c>
      <c r="G83">
        <f t="shared" si="1"/>
        <v>3</v>
      </c>
      <c r="H83">
        <f t="shared" si="2"/>
        <v>2</v>
      </c>
      <c r="I83">
        <f>I21*M21</f>
        <v>0</v>
      </c>
      <c r="J83">
        <f>J21*N21</f>
        <v>0</v>
      </c>
    </row>
    <row r="84" spans="5:10" hidden="1" x14ac:dyDescent="0.35">
      <c r="E84">
        <f>E22*K22</f>
        <v>0</v>
      </c>
      <c r="F84">
        <f>F22*L22</f>
        <v>0</v>
      </c>
      <c r="G84">
        <f t="shared" si="1"/>
        <v>0</v>
      </c>
      <c r="H84">
        <f t="shared" si="2"/>
        <v>0</v>
      </c>
      <c r="I84">
        <f>I22*M22</f>
        <v>0</v>
      </c>
      <c r="J84">
        <f>J22*N22</f>
        <v>0</v>
      </c>
    </row>
    <row r="85" spans="5:10" hidden="1" x14ac:dyDescent="0.35">
      <c r="E85">
        <f>E23*K23</f>
        <v>0</v>
      </c>
      <c r="F85">
        <f>F23*L23</f>
        <v>0</v>
      </c>
      <c r="G85">
        <f t="shared" si="1"/>
        <v>0</v>
      </c>
      <c r="H85">
        <f t="shared" si="2"/>
        <v>0</v>
      </c>
      <c r="I85">
        <f>I23*M23</f>
        <v>0</v>
      </c>
      <c r="J85">
        <f>J23*N23</f>
        <v>0</v>
      </c>
    </row>
    <row r="86" spans="5:10" hidden="1" x14ac:dyDescent="0.35">
      <c r="E86">
        <f>E24*K24</f>
        <v>6</v>
      </c>
      <c r="F86">
        <f>F24*L24</f>
        <v>0</v>
      </c>
      <c r="G86">
        <f t="shared" si="1"/>
        <v>6</v>
      </c>
      <c r="H86">
        <f t="shared" si="2"/>
        <v>6</v>
      </c>
      <c r="I86">
        <f>I24*M24</f>
        <v>0</v>
      </c>
      <c r="J86">
        <f>J24*N24</f>
        <v>0</v>
      </c>
    </row>
    <row r="87" spans="5:10" hidden="1" x14ac:dyDescent="0.35">
      <c r="E87">
        <f>E25*K25</f>
        <v>6</v>
      </c>
      <c r="F87">
        <f>F25*L25</f>
        <v>0</v>
      </c>
      <c r="G87">
        <f t="shared" si="1"/>
        <v>6</v>
      </c>
      <c r="H87">
        <f t="shared" si="2"/>
        <v>6</v>
      </c>
      <c r="I87">
        <f>I25*M25</f>
        <v>0</v>
      </c>
      <c r="J87">
        <f>J25*N25</f>
        <v>0</v>
      </c>
    </row>
    <row r="88" spans="5:10" hidden="1" x14ac:dyDescent="0.35">
      <c r="E88">
        <f>E26*K26</f>
        <v>6</v>
      </c>
      <c r="F88">
        <f>F26*L26</f>
        <v>0</v>
      </c>
      <c r="G88">
        <f t="shared" si="1"/>
        <v>4</v>
      </c>
      <c r="H88">
        <f t="shared" si="2"/>
        <v>4</v>
      </c>
      <c r="I88" t="e">
        <f>I26*M26</f>
        <v>#VALUE!</v>
      </c>
      <c r="J88">
        <f>J26*N26</f>
        <v>0</v>
      </c>
    </row>
    <row r="89" spans="5:10" hidden="1" x14ac:dyDescent="0.35">
      <c r="E89">
        <f>E27*K27</f>
        <v>0</v>
      </c>
      <c r="F89">
        <f>F27*L27</f>
        <v>0</v>
      </c>
      <c r="G89">
        <f t="shared" si="1"/>
        <v>0</v>
      </c>
      <c r="H89">
        <f t="shared" si="2"/>
        <v>0</v>
      </c>
      <c r="I89">
        <f>I27*M27</f>
        <v>0</v>
      </c>
      <c r="J89">
        <f>J27*N27</f>
        <v>0</v>
      </c>
    </row>
    <row r="90" spans="5:10" hidden="1" x14ac:dyDescent="0.35">
      <c r="E90">
        <f>E28*K28</f>
        <v>8</v>
      </c>
      <c r="F90">
        <f>F28*L28</f>
        <v>0</v>
      </c>
      <c r="G90">
        <f t="shared" si="1"/>
        <v>6</v>
      </c>
      <c r="H90">
        <f t="shared" si="2"/>
        <v>6</v>
      </c>
      <c r="I90" t="e">
        <f>I28*M28</f>
        <v>#VALUE!</v>
      </c>
      <c r="J90">
        <f>J28*N28</f>
        <v>0</v>
      </c>
    </row>
    <row r="91" spans="5:10" hidden="1" x14ac:dyDescent="0.35">
      <c r="E91">
        <f>E29*K29</f>
        <v>8</v>
      </c>
      <c r="F91">
        <f>F29*L29</f>
        <v>0</v>
      </c>
      <c r="G91">
        <f t="shared" si="1"/>
        <v>6</v>
      </c>
      <c r="H91">
        <f t="shared" si="2"/>
        <v>4</v>
      </c>
      <c r="I91" t="e">
        <f>I29*M29</f>
        <v>#VALUE!</v>
      </c>
      <c r="J91">
        <f>J29*N29</f>
        <v>0</v>
      </c>
    </row>
    <row r="92" spans="5:10" hidden="1" x14ac:dyDescent="0.35">
      <c r="E92">
        <f>E30*K30</f>
        <v>6</v>
      </c>
      <c r="F92">
        <f>F30*L30</f>
        <v>0</v>
      </c>
      <c r="G92">
        <f t="shared" si="1"/>
        <v>6</v>
      </c>
      <c r="H92">
        <f t="shared" si="2"/>
        <v>6</v>
      </c>
      <c r="I92">
        <f>I30*M30</f>
        <v>0</v>
      </c>
      <c r="J92">
        <f>J30*N30</f>
        <v>0</v>
      </c>
    </row>
    <row r="93" spans="5:10" hidden="1" x14ac:dyDescent="0.35">
      <c r="E93">
        <f>E31*K31</f>
        <v>6</v>
      </c>
      <c r="F93">
        <f>F31*L31</f>
        <v>0</v>
      </c>
      <c r="G93">
        <f t="shared" si="1"/>
        <v>6</v>
      </c>
      <c r="H93">
        <f t="shared" si="2"/>
        <v>6</v>
      </c>
      <c r="I93">
        <f>I31*M31</f>
        <v>0</v>
      </c>
      <c r="J93">
        <f>J31*N31</f>
        <v>0</v>
      </c>
    </row>
    <row r="94" spans="5:10" hidden="1" x14ac:dyDescent="0.35">
      <c r="E94">
        <f>E32*K32</f>
        <v>0</v>
      </c>
      <c r="F94">
        <f>F32*L32</f>
        <v>0</v>
      </c>
      <c r="G94">
        <f t="shared" si="1"/>
        <v>0</v>
      </c>
      <c r="H94">
        <f t="shared" si="2"/>
        <v>0</v>
      </c>
      <c r="I94">
        <f>I32*M32</f>
        <v>0</v>
      </c>
      <c r="J94">
        <f>J32*N32</f>
        <v>0</v>
      </c>
    </row>
    <row r="95" spans="5:10" hidden="1" x14ac:dyDescent="0.35">
      <c r="E95">
        <f>E33*K33</f>
        <v>0</v>
      </c>
      <c r="F95">
        <f>F33*L33</f>
        <v>0</v>
      </c>
      <c r="G95">
        <f t="shared" si="1"/>
        <v>0</v>
      </c>
      <c r="H95">
        <f t="shared" si="2"/>
        <v>0</v>
      </c>
      <c r="I95">
        <f>I33*M33</f>
        <v>0</v>
      </c>
      <c r="J95">
        <f>J33*N33</f>
        <v>0</v>
      </c>
    </row>
    <row r="96" spans="5:10" hidden="1" x14ac:dyDescent="0.35">
      <c r="E96">
        <f>E34*K34</f>
        <v>3</v>
      </c>
      <c r="F96">
        <f>F34*L34</f>
        <v>0</v>
      </c>
      <c r="G96">
        <f t="shared" si="1"/>
        <v>3</v>
      </c>
      <c r="H96">
        <f t="shared" si="2"/>
        <v>3</v>
      </c>
      <c r="I96">
        <f>I34*M34</f>
        <v>0</v>
      </c>
      <c r="J96">
        <f>J34*N34</f>
        <v>0</v>
      </c>
    </row>
    <row r="97" spans="5:10" hidden="1" x14ac:dyDescent="0.35">
      <c r="E97">
        <f>E35*K35</f>
        <v>10</v>
      </c>
      <c r="F97">
        <f>F35*L35</f>
        <v>0</v>
      </c>
      <c r="G97">
        <f t="shared" si="1"/>
        <v>6</v>
      </c>
      <c r="H97">
        <f t="shared" si="2"/>
        <v>6</v>
      </c>
      <c r="I97" t="e">
        <f>I35*M35</f>
        <v>#VALUE!</v>
      </c>
      <c r="J97">
        <f>J35*N35</f>
        <v>0</v>
      </c>
    </row>
    <row r="98" spans="5:10" hidden="1" x14ac:dyDescent="0.35">
      <c r="E98">
        <f>E36*K36</f>
        <v>3</v>
      </c>
      <c r="F98">
        <f>F36*L36</f>
        <v>0</v>
      </c>
      <c r="G98">
        <f t="shared" si="1"/>
        <v>3</v>
      </c>
      <c r="H98">
        <f t="shared" si="2"/>
        <v>3</v>
      </c>
      <c r="I98">
        <f>I36*M36</f>
        <v>0</v>
      </c>
      <c r="J98">
        <f>J36*N36</f>
        <v>0</v>
      </c>
    </row>
    <row r="99" spans="5:10" hidden="1" x14ac:dyDescent="0.35">
      <c r="E99">
        <f>E37*K37</f>
        <v>3</v>
      </c>
      <c r="F99">
        <f>F37*L37</f>
        <v>0</v>
      </c>
      <c r="G99">
        <f t="shared" si="1"/>
        <v>3</v>
      </c>
      <c r="H99">
        <f t="shared" si="2"/>
        <v>3</v>
      </c>
      <c r="I99">
        <f>I37*M37</f>
        <v>0</v>
      </c>
      <c r="J99">
        <f>J37*N37</f>
        <v>0</v>
      </c>
    </row>
    <row r="100" spans="5:10" hidden="1" x14ac:dyDescent="0.35">
      <c r="E100">
        <f>E38*K38</f>
        <v>0</v>
      </c>
      <c r="F100">
        <f>F38*L38</f>
        <v>0</v>
      </c>
      <c r="G100">
        <f t="shared" si="1"/>
        <v>0</v>
      </c>
      <c r="H100">
        <f t="shared" si="2"/>
        <v>0</v>
      </c>
      <c r="I100">
        <f>I38*M38</f>
        <v>0</v>
      </c>
      <c r="J100">
        <f>J38*N38</f>
        <v>0</v>
      </c>
    </row>
    <row r="101" spans="5:10" hidden="1" x14ac:dyDescent="0.35">
      <c r="E101">
        <f>E39*K39</f>
        <v>3</v>
      </c>
      <c r="F101">
        <f>F39*L39</f>
        <v>0</v>
      </c>
      <c r="G101">
        <f t="shared" si="1"/>
        <v>3</v>
      </c>
      <c r="H101">
        <f t="shared" si="2"/>
        <v>3</v>
      </c>
      <c r="I101">
        <f>I39*M39</f>
        <v>0</v>
      </c>
      <c r="J101">
        <f>J39*N39</f>
        <v>0</v>
      </c>
    </row>
    <row r="102" spans="5:10" hidden="1" x14ac:dyDescent="0.35">
      <c r="E102">
        <f>E40*K40</f>
        <v>2</v>
      </c>
      <c r="F102">
        <f>F40*L40</f>
        <v>0</v>
      </c>
      <c r="G102">
        <f t="shared" si="1"/>
        <v>4</v>
      </c>
      <c r="H102">
        <f t="shared" si="2"/>
        <v>4</v>
      </c>
      <c r="I102" t="e">
        <f>I40*M40</f>
        <v>#VALUE!</v>
      </c>
      <c r="J102">
        <f>J40*N40</f>
        <v>0</v>
      </c>
    </row>
    <row r="103" spans="5:10" hidden="1" x14ac:dyDescent="0.35">
      <c r="E103">
        <f>E41*K41</f>
        <v>0</v>
      </c>
      <c r="F103">
        <f>F41*L41</f>
        <v>0</v>
      </c>
      <c r="G103">
        <f t="shared" si="1"/>
        <v>0</v>
      </c>
      <c r="H103">
        <f t="shared" si="2"/>
        <v>0</v>
      </c>
      <c r="I103">
        <f>I41*M41</f>
        <v>0</v>
      </c>
      <c r="J103">
        <f>J41*N41</f>
        <v>0</v>
      </c>
    </row>
    <row r="104" spans="5:10" hidden="1" x14ac:dyDescent="0.35">
      <c r="E104">
        <f>E42*K42</f>
        <v>0</v>
      </c>
      <c r="F104">
        <f>F42*L42</f>
        <v>0</v>
      </c>
      <c r="G104">
        <f t="shared" si="1"/>
        <v>0</v>
      </c>
      <c r="H104">
        <f t="shared" si="2"/>
        <v>0</v>
      </c>
      <c r="I104">
        <f>I42*M42</f>
        <v>0</v>
      </c>
      <c r="J104">
        <f>J42*N42</f>
        <v>0</v>
      </c>
    </row>
    <row r="105" spans="5:10" hidden="1" x14ac:dyDescent="0.35">
      <c r="E105">
        <f>E43*K43</f>
        <v>0</v>
      </c>
      <c r="F105">
        <f>F43*L43</f>
        <v>0</v>
      </c>
      <c r="G105">
        <f t="shared" si="1"/>
        <v>0</v>
      </c>
      <c r="H105">
        <f t="shared" si="2"/>
        <v>0</v>
      </c>
      <c r="I105">
        <f>I43*M43</f>
        <v>0</v>
      </c>
      <c r="J105">
        <f>J43*N43</f>
        <v>0</v>
      </c>
    </row>
    <row r="106" spans="5:10" hidden="1" x14ac:dyDescent="0.35">
      <c r="E106">
        <f>E44*K44</f>
        <v>3</v>
      </c>
      <c r="F106">
        <f>F44*L44</f>
        <v>0</v>
      </c>
      <c r="G106">
        <f t="shared" si="1"/>
        <v>3</v>
      </c>
      <c r="H106">
        <f t="shared" si="2"/>
        <v>3</v>
      </c>
      <c r="I106">
        <f>I44*M44</f>
        <v>0</v>
      </c>
      <c r="J106">
        <f>J44*N44</f>
        <v>0</v>
      </c>
    </row>
    <row r="107" spans="5:10" hidden="1" x14ac:dyDescent="0.35">
      <c r="E107">
        <f>E45*K45</f>
        <v>3</v>
      </c>
      <c r="F107">
        <f>F45*L45</f>
        <v>0</v>
      </c>
      <c r="G107">
        <f t="shared" si="1"/>
        <v>3</v>
      </c>
      <c r="H107">
        <f t="shared" si="2"/>
        <v>3</v>
      </c>
      <c r="I107">
        <f>I45*M45</f>
        <v>0</v>
      </c>
      <c r="J107">
        <f>J45*N45</f>
        <v>0</v>
      </c>
    </row>
    <row r="108" spans="5:10" hidden="1" x14ac:dyDescent="0.35">
      <c r="E108">
        <f>E46*K46</f>
        <v>3</v>
      </c>
      <c r="F108">
        <f>F46*L46</f>
        <v>0</v>
      </c>
      <c r="G108">
        <f t="shared" si="1"/>
        <v>3</v>
      </c>
      <c r="H108">
        <f t="shared" si="2"/>
        <v>3</v>
      </c>
      <c r="I108">
        <f>I46*M46</f>
        <v>0</v>
      </c>
      <c r="J108">
        <f>J46*N46</f>
        <v>0</v>
      </c>
    </row>
    <row r="109" spans="5:10" hidden="1" x14ac:dyDescent="0.35">
      <c r="E109">
        <f>E47*K47</f>
        <v>0</v>
      </c>
      <c r="F109">
        <f>F47*L47</f>
        <v>0</v>
      </c>
      <c r="G109">
        <f t="shared" si="1"/>
        <v>0</v>
      </c>
      <c r="H109">
        <f t="shared" si="2"/>
        <v>0</v>
      </c>
      <c r="I109">
        <f>I47*M47</f>
        <v>0</v>
      </c>
      <c r="J109">
        <f>J47*N47</f>
        <v>0</v>
      </c>
    </row>
    <row r="110" spans="5:10" hidden="1" x14ac:dyDescent="0.35">
      <c r="E110">
        <f>E48*K48</f>
        <v>4</v>
      </c>
      <c r="F110">
        <f>F48*L48</f>
        <v>0</v>
      </c>
      <c r="G110">
        <f t="shared" si="1"/>
        <v>3</v>
      </c>
      <c r="H110">
        <f t="shared" si="2"/>
        <v>2</v>
      </c>
      <c r="I110" t="e">
        <f>I48*M48</f>
        <v>#VALUE!</v>
      </c>
      <c r="J110">
        <f>J48*N48</f>
        <v>0</v>
      </c>
    </row>
    <row r="111" spans="5:10" hidden="1" x14ac:dyDescent="0.35">
      <c r="E111">
        <f>E49*K49</f>
        <v>0</v>
      </c>
      <c r="F111">
        <f>F49*L49</f>
        <v>0</v>
      </c>
      <c r="G111">
        <f t="shared" si="1"/>
        <v>0</v>
      </c>
      <c r="H111">
        <f t="shared" si="2"/>
        <v>0</v>
      </c>
      <c r="I111">
        <f>I49*M49</f>
        <v>0</v>
      </c>
      <c r="J111">
        <f>J49*N49</f>
        <v>0</v>
      </c>
    </row>
    <row r="112" spans="5:10" hidden="1" x14ac:dyDescent="0.35">
      <c r="E112">
        <f>E50*K50</f>
        <v>3</v>
      </c>
      <c r="F112">
        <f>F50*L50</f>
        <v>0</v>
      </c>
      <c r="G112">
        <f t="shared" si="1"/>
        <v>3</v>
      </c>
      <c r="H112">
        <f t="shared" si="2"/>
        <v>3</v>
      </c>
      <c r="I112">
        <f>I50*M50</f>
        <v>0</v>
      </c>
      <c r="J112">
        <f>J50*N50</f>
        <v>0</v>
      </c>
    </row>
    <row r="113" spans="5:10" hidden="1" x14ac:dyDescent="0.35">
      <c r="E113">
        <f>E51*K51</f>
        <v>3</v>
      </c>
      <c r="F113">
        <f>F51*L51</f>
        <v>0</v>
      </c>
      <c r="G113">
        <f t="shared" si="1"/>
        <v>3</v>
      </c>
      <c r="H113">
        <f t="shared" si="2"/>
        <v>3</v>
      </c>
      <c r="I113">
        <f>I51*M51</f>
        <v>0</v>
      </c>
      <c r="J113">
        <f>J51*N51</f>
        <v>0</v>
      </c>
    </row>
    <row r="114" spans="5:10" hidden="1" x14ac:dyDescent="0.35">
      <c r="E114">
        <f>E52*K52</f>
        <v>0</v>
      </c>
      <c r="F114">
        <f>F52*L52</f>
        <v>0</v>
      </c>
      <c r="G114">
        <f t="shared" si="1"/>
        <v>0</v>
      </c>
      <c r="H114">
        <f t="shared" si="2"/>
        <v>0</v>
      </c>
      <c r="I114">
        <f>I52*M52</f>
        <v>0</v>
      </c>
      <c r="J114">
        <f>J52*N52</f>
        <v>0</v>
      </c>
    </row>
    <row r="115" spans="5:10" hidden="1" x14ac:dyDescent="0.35">
      <c r="E115">
        <f>E53*K53</f>
        <v>0</v>
      </c>
      <c r="G115">
        <f t="shared" si="1"/>
        <v>0</v>
      </c>
      <c r="H115">
        <f t="shared" si="2"/>
        <v>0</v>
      </c>
    </row>
    <row r="116" spans="5:10" hidden="1" x14ac:dyDescent="0.35">
      <c r="E116">
        <f>E54*K54</f>
        <v>0</v>
      </c>
      <c r="G116">
        <f t="shared" si="1"/>
        <v>0</v>
      </c>
      <c r="H116">
        <f t="shared" si="2"/>
        <v>0</v>
      </c>
    </row>
    <row r="117" spans="5:10" hidden="1" x14ac:dyDescent="0.35">
      <c r="E117">
        <f>E55*K55</f>
        <v>0</v>
      </c>
      <c r="G117">
        <f t="shared" si="1"/>
        <v>0</v>
      </c>
      <c r="H117">
        <f t="shared" si="2"/>
        <v>0</v>
      </c>
    </row>
    <row r="118" spans="5:10" hidden="1" x14ac:dyDescent="0.35">
      <c r="E118">
        <f>E56*K56</f>
        <v>0</v>
      </c>
      <c r="G118">
        <f t="shared" si="1"/>
        <v>0</v>
      </c>
      <c r="H118">
        <f t="shared" si="2"/>
        <v>0</v>
      </c>
    </row>
    <row r="119" spans="5:10" hidden="1" x14ac:dyDescent="0.35">
      <c r="E119">
        <f>E57*K57</f>
        <v>0</v>
      </c>
      <c r="G119">
        <f t="shared" si="1"/>
        <v>0</v>
      </c>
      <c r="H119">
        <f t="shared" si="2"/>
        <v>0</v>
      </c>
    </row>
    <row r="120" spans="5:10" hidden="1" x14ac:dyDescent="0.35">
      <c r="E120">
        <f>E58*K58</f>
        <v>0</v>
      </c>
      <c r="G120">
        <f t="shared" si="1"/>
        <v>0</v>
      </c>
      <c r="H120">
        <f t="shared" si="2"/>
        <v>0</v>
      </c>
    </row>
    <row r="121" spans="5:10" hidden="1" x14ac:dyDescent="0.35">
      <c r="E121">
        <f>E59*K59</f>
        <v>0</v>
      </c>
      <c r="G121">
        <f t="shared" si="1"/>
        <v>0</v>
      </c>
      <c r="H121">
        <f t="shared" si="2"/>
        <v>0</v>
      </c>
    </row>
    <row r="122" spans="5:10" hidden="1" x14ac:dyDescent="0.35">
      <c r="E122">
        <f>E60*K60</f>
        <v>0</v>
      </c>
      <c r="G122">
        <f t="shared" si="1"/>
        <v>0</v>
      </c>
      <c r="H122">
        <f t="shared" si="2"/>
        <v>0</v>
      </c>
    </row>
    <row r="123" spans="5:10" hidden="1" x14ac:dyDescent="0.35">
      <c r="E123">
        <f>E61*K61</f>
        <v>0</v>
      </c>
      <c r="G123">
        <f t="shared" si="1"/>
        <v>0</v>
      </c>
      <c r="H123">
        <f t="shared" si="2"/>
        <v>0</v>
      </c>
    </row>
    <row r="124" spans="5:10" hidden="1" x14ac:dyDescent="0.35">
      <c r="E124">
        <f>E62*K62</f>
        <v>0</v>
      </c>
      <c r="G124">
        <f t="shared" si="1"/>
        <v>0</v>
      </c>
      <c r="H124">
        <f t="shared" si="2"/>
        <v>0</v>
      </c>
    </row>
    <row r="125" spans="5:10" hidden="1" x14ac:dyDescent="0.35">
      <c r="E125">
        <f>E63*K63</f>
        <v>0</v>
      </c>
      <c r="G125">
        <f t="shared" si="1"/>
        <v>0</v>
      </c>
      <c r="H125">
        <f t="shared" si="2"/>
        <v>0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C184-F20E-44C4-9595-B8FA40CB759B}">
  <dimension ref="A1:D40"/>
  <sheetViews>
    <sheetView zoomScale="90" zoomScaleNormal="90" workbookViewId="0">
      <selection activeCell="C16" sqref="C16"/>
    </sheetView>
  </sheetViews>
  <sheetFormatPr baseColWidth="10" defaultColWidth="9.1796875" defaultRowHeight="14.5" x14ac:dyDescent="0.35"/>
  <cols>
    <col min="1" max="1" width="22.81640625" bestFit="1" customWidth="1"/>
    <col min="2" max="2" width="43.7265625" bestFit="1" customWidth="1"/>
    <col min="3" max="3" width="37" customWidth="1"/>
    <col min="4" max="4" width="13.54296875" bestFit="1" customWidth="1"/>
  </cols>
  <sheetData>
    <row r="1" spans="1:4" x14ac:dyDescent="0.35">
      <c r="A1" s="1" t="s">
        <v>61</v>
      </c>
      <c r="B1" s="1" t="s">
        <v>36</v>
      </c>
      <c r="C1" s="1" t="s">
        <v>62</v>
      </c>
      <c r="D1" s="1" t="s">
        <v>38</v>
      </c>
    </row>
    <row r="2" spans="1:4" x14ac:dyDescent="0.35">
      <c r="A2" t="s">
        <v>63</v>
      </c>
      <c r="B2" t="s">
        <v>64</v>
      </c>
    </row>
    <row r="3" spans="1:4" x14ac:dyDescent="0.35">
      <c r="A3" t="s">
        <v>63</v>
      </c>
      <c r="B3" t="s">
        <v>65</v>
      </c>
    </row>
    <row r="4" spans="1:4" x14ac:dyDescent="0.35">
      <c r="A4" t="s">
        <v>63</v>
      </c>
      <c r="B4" t="s">
        <v>66</v>
      </c>
    </row>
    <row r="5" spans="1:4" x14ac:dyDescent="0.35">
      <c r="A5" t="s">
        <v>67</v>
      </c>
      <c r="B5" t="s">
        <v>68</v>
      </c>
    </row>
    <row r="6" spans="1:4" x14ac:dyDescent="0.35">
      <c r="A6" t="s">
        <v>67</v>
      </c>
      <c r="B6" t="s">
        <v>69</v>
      </c>
    </row>
    <row r="7" spans="1:4" x14ac:dyDescent="0.35">
      <c r="A7" t="s">
        <v>70</v>
      </c>
      <c r="B7" t="s">
        <v>45</v>
      </c>
    </row>
    <row r="8" spans="1:4" x14ac:dyDescent="0.35">
      <c r="A8" t="s">
        <v>70</v>
      </c>
      <c r="B8" t="s">
        <v>71</v>
      </c>
    </row>
    <row r="9" spans="1:4" x14ac:dyDescent="0.35">
      <c r="A9" t="s">
        <v>70</v>
      </c>
      <c r="B9" t="s">
        <v>72</v>
      </c>
    </row>
    <row r="10" spans="1:4" x14ac:dyDescent="0.35">
      <c r="A10" t="s">
        <v>73</v>
      </c>
      <c r="B10" t="s">
        <v>74</v>
      </c>
    </row>
    <row r="11" spans="1:4" x14ac:dyDescent="0.35">
      <c r="A11" t="s">
        <v>73</v>
      </c>
      <c r="B11" t="s">
        <v>75</v>
      </c>
    </row>
    <row r="12" spans="1:4" x14ac:dyDescent="0.35">
      <c r="A12" t="s">
        <v>73</v>
      </c>
      <c r="B12" t="s">
        <v>76</v>
      </c>
    </row>
    <row r="13" spans="1:4" x14ac:dyDescent="0.35">
      <c r="A13" t="s">
        <v>77</v>
      </c>
      <c r="B13" t="s">
        <v>78</v>
      </c>
    </row>
    <row r="14" spans="1:4" x14ac:dyDescent="0.35">
      <c r="A14" t="s">
        <v>77</v>
      </c>
      <c r="B14" t="s">
        <v>79</v>
      </c>
    </row>
    <row r="15" spans="1:4" x14ac:dyDescent="0.35">
      <c r="A15" t="s">
        <v>29</v>
      </c>
      <c r="B15" t="s">
        <v>80</v>
      </c>
    </row>
    <row r="16" spans="1:4" x14ac:dyDescent="0.35">
      <c r="A16" t="s">
        <v>29</v>
      </c>
      <c r="B16" t="s">
        <v>81</v>
      </c>
    </row>
    <row r="17" spans="1:4" x14ac:dyDescent="0.35">
      <c r="A17" t="s">
        <v>82</v>
      </c>
      <c r="B17" t="s">
        <v>83</v>
      </c>
    </row>
    <row r="18" spans="1:4" x14ac:dyDescent="0.35">
      <c r="A18" t="s">
        <v>82</v>
      </c>
      <c r="B18" t="s">
        <v>84</v>
      </c>
    </row>
    <row r="19" spans="1:4" x14ac:dyDescent="0.35">
      <c r="A19" t="s">
        <v>85</v>
      </c>
      <c r="B19" t="s">
        <v>86</v>
      </c>
    </row>
    <row r="20" spans="1:4" x14ac:dyDescent="0.35">
      <c r="A20" t="s">
        <v>85</v>
      </c>
      <c r="B20" t="s">
        <v>87</v>
      </c>
    </row>
    <row r="21" spans="1:4" x14ac:dyDescent="0.35">
      <c r="A21" t="s">
        <v>88</v>
      </c>
      <c r="B21" t="s">
        <v>89</v>
      </c>
    </row>
    <row r="22" spans="1:4" x14ac:dyDescent="0.35">
      <c r="A22" t="s">
        <v>88</v>
      </c>
      <c r="B22" t="s">
        <v>90</v>
      </c>
    </row>
    <row r="23" spans="1:4" x14ac:dyDescent="0.35">
      <c r="A23" t="s">
        <v>91</v>
      </c>
      <c r="B23" t="s">
        <v>92</v>
      </c>
    </row>
    <row r="24" spans="1:4" x14ac:dyDescent="0.35">
      <c r="A24" t="s">
        <v>91</v>
      </c>
      <c r="B24" t="s">
        <v>93</v>
      </c>
    </row>
    <row r="26" spans="1:4" x14ac:dyDescent="0.35">
      <c r="A26" s="1" t="s">
        <v>35</v>
      </c>
      <c r="B26" s="1" t="s">
        <v>36</v>
      </c>
      <c r="C26" s="1" t="s">
        <v>37</v>
      </c>
      <c r="D26" s="1" t="s">
        <v>38</v>
      </c>
    </row>
    <row r="27" spans="1:4" x14ac:dyDescent="0.35">
      <c r="A27" t="s">
        <v>39</v>
      </c>
      <c r="B27" t="s">
        <v>40</v>
      </c>
    </row>
    <row r="28" spans="1:4" x14ac:dyDescent="0.35">
      <c r="A28" t="s">
        <v>39</v>
      </c>
      <c r="B28" t="s">
        <v>41</v>
      </c>
    </row>
    <row r="29" spans="1:4" x14ac:dyDescent="0.35">
      <c r="A29" t="s">
        <v>39</v>
      </c>
      <c r="B29" t="s">
        <v>42</v>
      </c>
    </row>
    <row r="30" spans="1:4" x14ac:dyDescent="0.35">
      <c r="A30" t="s">
        <v>43</v>
      </c>
      <c r="B30" t="s">
        <v>44</v>
      </c>
    </row>
    <row r="31" spans="1:4" x14ac:dyDescent="0.35">
      <c r="A31" t="s">
        <v>43</v>
      </c>
      <c r="B31" t="s">
        <v>45</v>
      </c>
    </row>
    <row r="32" spans="1:4" x14ac:dyDescent="0.35">
      <c r="A32" t="s">
        <v>43</v>
      </c>
      <c r="B32" t="s">
        <v>46</v>
      </c>
    </row>
    <row r="33" spans="1:2" x14ac:dyDescent="0.35">
      <c r="A33" t="s">
        <v>47</v>
      </c>
      <c r="B33" t="s">
        <v>48</v>
      </c>
    </row>
    <row r="34" spans="1:2" x14ac:dyDescent="0.35">
      <c r="A34" t="s">
        <v>47</v>
      </c>
      <c r="B34" t="s">
        <v>49</v>
      </c>
    </row>
    <row r="35" spans="1:2" x14ac:dyDescent="0.35">
      <c r="A35" t="s">
        <v>50</v>
      </c>
      <c r="B35" t="s">
        <v>51</v>
      </c>
    </row>
    <row r="36" spans="1:2" x14ac:dyDescent="0.35">
      <c r="A36" t="s">
        <v>50</v>
      </c>
      <c r="B36" t="s">
        <v>52</v>
      </c>
    </row>
    <row r="37" spans="1:2" x14ac:dyDescent="0.35">
      <c r="A37" t="s">
        <v>53</v>
      </c>
      <c r="B37" t="s">
        <v>54</v>
      </c>
    </row>
    <row r="38" spans="1:2" x14ac:dyDescent="0.35">
      <c r="A38" t="s">
        <v>53</v>
      </c>
      <c r="B38" t="s">
        <v>55</v>
      </c>
    </row>
    <row r="39" spans="1:2" x14ac:dyDescent="0.35">
      <c r="A39" t="s">
        <v>56</v>
      </c>
      <c r="B39" t="s">
        <v>57</v>
      </c>
    </row>
    <row r="40" spans="1:2" x14ac:dyDescent="0.35">
      <c r="A40" t="s">
        <v>56</v>
      </c>
      <c r="B40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workbookViewId="0">
      <selection activeCell="E4" sqref="E4"/>
    </sheetView>
  </sheetViews>
  <sheetFormatPr baseColWidth="10" defaultColWidth="9.1796875" defaultRowHeight="14.5" x14ac:dyDescent="0.35"/>
  <cols>
    <col min="1" max="1" width="3.453125" customWidth="1"/>
    <col min="2" max="2" width="29.81640625" style="2" customWidth="1"/>
    <col min="3" max="3" width="23.81640625" bestFit="1" customWidth="1"/>
    <col min="4" max="4" width="18.81640625" bestFit="1" customWidth="1"/>
    <col min="5" max="5" width="21.26953125" customWidth="1"/>
    <col min="6" max="6" width="22.7265625" customWidth="1"/>
    <col min="7" max="7" width="6.81640625" customWidth="1"/>
  </cols>
  <sheetData>
    <row r="1" spans="2:6" ht="18.5" x14ac:dyDescent="0.45">
      <c r="B1" s="16" t="s">
        <v>34</v>
      </c>
    </row>
    <row r="2" spans="2:6" ht="9" customHeight="1" x14ac:dyDescent="0.35"/>
    <row r="3" spans="2:6" ht="15.5" x14ac:dyDescent="0.35">
      <c r="B3" s="13" t="s">
        <v>22</v>
      </c>
      <c r="C3" s="14" t="s">
        <v>20</v>
      </c>
      <c r="D3" s="15"/>
      <c r="E3" s="15"/>
      <c r="F3" s="15"/>
    </row>
    <row r="4" spans="2:6" x14ac:dyDescent="0.35">
      <c r="B4" s="3" t="s">
        <v>19</v>
      </c>
      <c r="C4" s="5" t="s">
        <v>59</v>
      </c>
      <c r="D4" s="1" t="s">
        <v>60</v>
      </c>
      <c r="E4" s="6" t="s">
        <v>150</v>
      </c>
      <c r="F4" s="6" t="s">
        <v>151</v>
      </c>
    </row>
    <row r="5" spans="2:6" x14ac:dyDescent="0.35">
      <c r="B5" s="3" t="s">
        <v>33</v>
      </c>
    </row>
    <row r="6" spans="2:6" x14ac:dyDescent="0.35">
      <c r="B6" s="3" t="s">
        <v>18</v>
      </c>
    </row>
    <row r="7" spans="2:6" x14ac:dyDescent="0.35">
      <c r="B7" s="3" t="s">
        <v>21</v>
      </c>
    </row>
    <row r="8" spans="2:6" x14ac:dyDescent="0.35">
      <c r="B8" s="3" t="s">
        <v>1</v>
      </c>
    </row>
    <row r="9" spans="2:6" x14ac:dyDescent="0.35">
      <c r="B9" s="3" t="s">
        <v>2</v>
      </c>
    </row>
    <row r="10" spans="2:6" x14ac:dyDescent="0.35">
      <c r="B10" s="3" t="s">
        <v>3</v>
      </c>
    </row>
    <row r="11" spans="2:6" x14ac:dyDescent="0.35">
      <c r="B11" s="3" t="s">
        <v>4</v>
      </c>
    </row>
    <row r="12" spans="2:6" x14ac:dyDescent="0.35">
      <c r="B12" s="3" t="s">
        <v>5</v>
      </c>
    </row>
    <row r="13" spans="2:6" x14ac:dyDescent="0.35">
      <c r="B13" s="3" t="s">
        <v>6</v>
      </c>
    </row>
    <row r="14" spans="2:6" x14ac:dyDescent="0.35">
      <c r="B14" s="3" t="s">
        <v>7</v>
      </c>
    </row>
    <row r="15" spans="2:6" x14ac:dyDescent="0.35">
      <c r="B15" s="3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B2:E23"/>
  <sheetViews>
    <sheetView workbookViewId="0">
      <selection activeCell="B23" sqref="B23"/>
    </sheetView>
  </sheetViews>
  <sheetFormatPr baseColWidth="10" defaultColWidth="9.1796875" defaultRowHeight="14.5" x14ac:dyDescent="0.35"/>
  <cols>
    <col min="1" max="1" width="5.7265625" customWidth="1"/>
    <col min="2" max="2" width="23.453125" customWidth="1"/>
    <col min="3" max="3" width="22.26953125" customWidth="1"/>
    <col min="4" max="4" width="27.1796875" customWidth="1"/>
    <col min="5" max="5" width="26.26953125" customWidth="1"/>
  </cols>
  <sheetData>
    <row r="2" spans="2:5" x14ac:dyDescent="0.35">
      <c r="B2" s="4" t="s">
        <v>59</v>
      </c>
    </row>
    <row r="3" spans="2:5" x14ac:dyDescent="0.35">
      <c r="B3" s="1" t="s">
        <v>0</v>
      </c>
      <c r="C3" s="1" t="s">
        <v>15</v>
      </c>
      <c r="D3" s="1" t="s">
        <v>16</v>
      </c>
      <c r="E3" s="1" t="s">
        <v>17</v>
      </c>
    </row>
    <row r="4" spans="2:5" x14ac:dyDescent="0.35">
      <c r="B4" s="19" t="s">
        <v>153</v>
      </c>
    </row>
    <row r="5" spans="2:5" x14ac:dyDescent="0.35">
      <c r="B5" s="19" t="s">
        <v>152</v>
      </c>
    </row>
    <row r="6" spans="2:5" x14ac:dyDescent="0.35">
      <c r="B6" s="19" t="s">
        <v>154</v>
      </c>
    </row>
    <row r="7" spans="2:5" x14ac:dyDescent="0.35">
      <c r="B7" s="19" t="s">
        <v>155</v>
      </c>
    </row>
    <row r="8" spans="2:5" x14ac:dyDescent="0.35">
      <c r="B8" s="19" t="s">
        <v>156</v>
      </c>
    </row>
    <row r="23" spans="2:2" x14ac:dyDescent="0.35">
      <c r="B23" s="19" t="s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B1:H23"/>
  <sheetViews>
    <sheetView workbookViewId="0">
      <selection activeCell="C4" sqref="C4:H9"/>
    </sheetView>
  </sheetViews>
  <sheetFormatPr baseColWidth="10" defaultColWidth="9.1796875" defaultRowHeight="14.5" x14ac:dyDescent="0.35"/>
  <cols>
    <col min="2" max="2" width="23.7265625" customWidth="1"/>
    <col min="3" max="3" width="21.453125" customWidth="1"/>
    <col min="4" max="4" width="23.1796875" bestFit="1" customWidth="1"/>
    <col min="5" max="5" width="19.7265625" bestFit="1" customWidth="1"/>
    <col min="6" max="6" width="20.1796875" bestFit="1" customWidth="1"/>
    <col min="7" max="7" width="18.81640625" bestFit="1" customWidth="1"/>
    <col min="8" max="8" width="16.7265625" customWidth="1"/>
  </cols>
  <sheetData>
    <row r="1" spans="2:8" x14ac:dyDescent="0.35">
      <c r="B1" s="4" t="s">
        <v>59</v>
      </c>
    </row>
    <row r="2" spans="2:8" x14ac:dyDescent="0.35">
      <c r="B2" s="17" t="s">
        <v>161</v>
      </c>
    </row>
    <row r="3" spans="2:8" x14ac:dyDescent="0.35">
      <c r="B3" s="1" t="s">
        <v>0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2:8" x14ac:dyDescent="0.35">
      <c r="B4" s="18" t="str">
        <f>+'01_Analyse_Tiefzieh'!B4</f>
        <v>Bestückung HL-Rolle</v>
      </c>
    </row>
    <row r="5" spans="2:8" x14ac:dyDescent="0.35">
      <c r="B5" s="18" t="str">
        <f>+'01_Analyse_Tiefzieh'!B5</f>
        <v>Einfädeln HL-Rolle</v>
      </c>
    </row>
    <row r="6" spans="2:8" x14ac:dyDescent="0.35">
      <c r="B6" s="18" t="str">
        <f>+'01_Analyse_Tiefzieh'!B6</f>
        <v>Aufheizen</v>
      </c>
    </row>
    <row r="7" spans="2:8" x14ac:dyDescent="0.35">
      <c r="B7" s="18" t="str">
        <f>+'01_Analyse_Tiefzieh'!B7</f>
        <v>Ablängen</v>
      </c>
    </row>
    <row r="8" spans="2:8" x14ac:dyDescent="0.35">
      <c r="B8" s="18" t="str">
        <f>+'01_Analyse_Tiefzieh'!B8</f>
        <v>Tiefziehen</v>
      </c>
    </row>
    <row r="23" spans="2:2" x14ac:dyDescent="0.35">
      <c r="B23" s="18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AD82-F20D-4609-A1E7-42C6084ABD89}">
  <sheetPr>
    <tabColor theme="3" tint="0.79998168889431442"/>
  </sheetPr>
  <dimension ref="B2:D10"/>
  <sheetViews>
    <sheetView workbookViewId="0">
      <selection activeCell="C11" sqref="C11"/>
    </sheetView>
  </sheetViews>
  <sheetFormatPr baseColWidth="10" defaultColWidth="9.1796875" defaultRowHeight="14.5" x14ac:dyDescent="0.35"/>
  <cols>
    <col min="2" max="2" width="22.81640625" customWidth="1"/>
    <col min="3" max="3" width="11.81640625" customWidth="1"/>
  </cols>
  <sheetData>
    <row r="2" spans="2:4" x14ac:dyDescent="0.35">
      <c r="B2" s="4" t="s">
        <v>164</v>
      </c>
      <c r="C2" s="20"/>
      <c r="D2" s="21"/>
    </row>
    <row r="3" spans="2:4" x14ac:dyDescent="0.35">
      <c r="B3" t="s">
        <v>23</v>
      </c>
      <c r="C3" t="s">
        <v>24</v>
      </c>
      <c r="D3" t="s">
        <v>25</v>
      </c>
    </row>
    <row r="4" spans="2:4" x14ac:dyDescent="0.35">
      <c r="B4" t="s">
        <v>26</v>
      </c>
      <c r="C4">
        <v>0.85</v>
      </c>
      <c r="D4">
        <v>0.78</v>
      </c>
    </row>
    <row r="5" spans="2:4" x14ac:dyDescent="0.35">
      <c r="B5" t="s">
        <v>27</v>
      </c>
      <c r="C5">
        <v>0.42</v>
      </c>
      <c r="D5">
        <v>0.23</v>
      </c>
    </row>
    <row r="6" spans="2:4" x14ac:dyDescent="0.35">
      <c r="B6" t="s">
        <v>28</v>
      </c>
      <c r="C6">
        <v>0.18</v>
      </c>
      <c r="D6">
        <v>0.11</v>
      </c>
    </row>
    <row r="7" spans="2:4" x14ac:dyDescent="0.35">
      <c r="B7" t="s">
        <v>29</v>
      </c>
      <c r="C7">
        <v>0.24</v>
      </c>
      <c r="D7">
        <v>0.19</v>
      </c>
    </row>
    <row r="8" spans="2:4" x14ac:dyDescent="0.35">
      <c r="B8" t="s">
        <v>30</v>
      </c>
      <c r="C8">
        <v>0.52</v>
      </c>
      <c r="D8">
        <v>0.28000000000000003</v>
      </c>
    </row>
    <row r="9" spans="2:4" x14ac:dyDescent="0.35">
      <c r="B9" t="s">
        <v>31</v>
      </c>
      <c r="C9">
        <v>0.37</v>
      </c>
      <c r="D9">
        <v>0.28999999999999998</v>
      </c>
    </row>
    <row r="10" spans="2:4" x14ac:dyDescent="0.35">
      <c r="B10" t="s">
        <v>32</v>
      </c>
      <c r="C10">
        <v>0.31</v>
      </c>
      <c r="D10">
        <v>0.27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5305-BB52-48DE-AE9A-C27F9D40C3AA}">
  <dimension ref="B1:E24"/>
  <sheetViews>
    <sheetView workbookViewId="0">
      <selection activeCell="H29" sqref="H29"/>
    </sheetView>
  </sheetViews>
  <sheetFormatPr baseColWidth="10" defaultColWidth="9.1796875" defaultRowHeight="14.5" x14ac:dyDescent="0.35"/>
  <cols>
    <col min="2" max="2" width="18.81640625" bestFit="1" customWidth="1"/>
    <col min="3" max="3" width="39" bestFit="1" customWidth="1"/>
    <col min="4" max="4" width="9.26953125" customWidth="1"/>
    <col min="5" max="5" width="23.54296875" customWidth="1"/>
  </cols>
  <sheetData>
    <row r="1" spans="2:5" x14ac:dyDescent="0.35">
      <c r="B1" s="1" t="s">
        <v>61</v>
      </c>
      <c r="C1" s="1" t="s">
        <v>36</v>
      </c>
      <c r="D1" s="1" t="s">
        <v>62</v>
      </c>
      <c r="E1" s="1" t="s">
        <v>38</v>
      </c>
    </row>
    <row r="2" spans="2:5" x14ac:dyDescent="0.35">
      <c r="B2" t="s">
        <v>63</v>
      </c>
      <c r="C2" t="s">
        <v>64</v>
      </c>
    </row>
    <row r="3" spans="2:5" x14ac:dyDescent="0.35">
      <c r="B3" t="s">
        <v>63</v>
      </c>
      <c r="C3" t="s">
        <v>65</v>
      </c>
    </row>
    <row r="4" spans="2:5" x14ac:dyDescent="0.35">
      <c r="B4" t="s">
        <v>63</v>
      </c>
      <c r="C4" t="s">
        <v>66</v>
      </c>
    </row>
    <row r="5" spans="2:5" x14ac:dyDescent="0.35">
      <c r="B5" t="s">
        <v>67</v>
      </c>
      <c r="C5" t="s">
        <v>68</v>
      </c>
    </row>
    <row r="6" spans="2:5" x14ac:dyDescent="0.35">
      <c r="B6" t="s">
        <v>67</v>
      </c>
      <c r="C6" t="s">
        <v>69</v>
      </c>
    </row>
    <row r="7" spans="2:5" x14ac:dyDescent="0.35">
      <c r="B7" t="s">
        <v>70</v>
      </c>
      <c r="C7" t="s">
        <v>45</v>
      </c>
    </row>
    <row r="8" spans="2:5" x14ac:dyDescent="0.35">
      <c r="B8" t="s">
        <v>70</v>
      </c>
      <c r="C8" t="s">
        <v>71</v>
      </c>
    </row>
    <row r="9" spans="2:5" x14ac:dyDescent="0.35">
      <c r="B9" t="s">
        <v>70</v>
      </c>
      <c r="C9" t="s">
        <v>72</v>
      </c>
    </row>
    <row r="10" spans="2:5" x14ac:dyDescent="0.35">
      <c r="B10" t="s">
        <v>73</v>
      </c>
      <c r="C10" t="s">
        <v>74</v>
      </c>
    </row>
    <row r="11" spans="2:5" x14ac:dyDescent="0.35">
      <c r="B11" t="s">
        <v>73</v>
      </c>
      <c r="C11" t="s">
        <v>75</v>
      </c>
    </row>
    <row r="12" spans="2:5" x14ac:dyDescent="0.35">
      <c r="B12" t="s">
        <v>73</v>
      </c>
      <c r="C12" t="s">
        <v>76</v>
      </c>
    </row>
    <row r="13" spans="2:5" x14ac:dyDescent="0.35">
      <c r="B13" t="s">
        <v>77</v>
      </c>
      <c r="C13" t="s">
        <v>78</v>
      </c>
    </row>
    <row r="14" spans="2:5" x14ac:dyDescent="0.35">
      <c r="B14" t="s">
        <v>77</v>
      </c>
      <c r="C14" t="s">
        <v>79</v>
      </c>
    </row>
    <row r="15" spans="2:5" x14ac:dyDescent="0.35">
      <c r="B15" t="s">
        <v>29</v>
      </c>
      <c r="C15" t="s">
        <v>80</v>
      </c>
    </row>
    <row r="16" spans="2:5" x14ac:dyDescent="0.35">
      <c r="B16" t="s">
        <v>29</v>
      </c>
      <c r="C16" t="s">
        <v>81</v>
      </c>
    </row>
    <row r="17" spans="2:3" x14ac:dyDescent="0.35">
      <c r="B17" t="s">
        <v>82</v>
      </c>
      <c r="C17" t="s">
        <v>83</v>
      </c>
    </row>
    <row r="18" spans="2:3" x14ac:dyDescent="0.35">
      <c r="B18" t="s">
        <v>82</v>
      </c>
      <c r="C18" t="s">
        <v>84</v>
      </c>
    </row>
    <row r="19" spans="2:3" x14ac:dyDescent="0.35">
      <c r="B19" t="s">
        <v>85</v>
      </c>
      <c r="C19" t="s">
        <v>86</v>
      </c>
    </row>
    <row r="20" spans="2:3" x14ac:dyDescent="0.35">
      <c r="B20" t="s">
        <v>85</v>
      </c>
      <c r="C20" t="s">
        <v>87</v>
      </c>
    </row>
    <row r="21" spans="2:3" x14ac:dyDescent="0.35">
      <c r="B21" t="s">
        <v>88</v>
      </c>
      <c r="C21" t="s">
        <v>89</v>
      </c>
    </row>
    <row r="22" spans="2:3" x14ac:dyDescent="0.35">
      <c r="B22" t="s">
        <v>88</v>
      </c>
      <c r="C22" t="s">
        <v>90</v>
      </c>
    </row>
    <row r="23" spans="2:3" x14ac:dyDescent="0.35">
      <c r="B23" t="s">
        <v>91</v>
      </c>
      <c r="C23" t="s">
        <v>92</v>
      </c>
    </row>
    <row r="24" spans="2:3" x14ac:dyDescent="0.35">
      <c r="B24" t="s">
        <v>91</v>
      </c>
      <c r="C24" t="s">
        <v>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4297c46-ad9d-49b3-98bb-8b0d8ea7eaa9}" enabled="1" method="Standard" siteId="{6c7eb460-cdb7-498a-a2b7-5f23de5f1c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Faktoren ProdReorganisation</vt:lpstr>
      <vt:lpstr>Checkliste_Prozesskosten</vt:lpstr>
      <vt:lpstr>NVH_Prozessdaten</vt:lpstr>
      <vt:lpstr>01_Analyse_Tiefzieh</vt:lpstr>
      <vt:lpstr>01_Kosten_Tiefzieh</vt:lpstr>
      <vt:lpstr>01_Vorher_Nachher</vt:lpstr>
      <vt:lpstr>Kostenfaktoren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Damir Bektasevic</cp:lastModifiedBy>
  <dcterms:created xsi:type="dcterms:W3CDTF">2026-03-28T10:22:46Z</dcterms:created>
  <dcterms:modified xsi:type="dcterms:W3CDTF">2026-04-01T16:06:16Z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